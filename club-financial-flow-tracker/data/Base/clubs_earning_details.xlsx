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defaultThemeVersion="166925"/>
  <mc:AlternateContent xmlns:mc="http://schemas.openxmlformats.org/markup-compatibility/2006">
    <mc:Choice Requires="x15">
      <x15ac:absPath xmlns:x15ac="http://schemas.microsoft.com/office/spreadsheetml/2010/11/ac" url="/Users/picachu/Data analysis/Projects/club-financial-flow-tracker/data/Base/"/>
    </mc:Choice>
  </mc:AlternateContent>
  <xr:revisionPtr revIDLastSave="0" documentId="13_ncr:1_{26B94C4A-3CD7-C74F-A684-4E02E088601D}" xr6:coauthVersionLast="47" xr6:coauthVersionMax="47" xr10:uidLastSave="{00000000-0000-0000-0000-000000000000}"/>
  <bookViews>
    <workbookView xWindow="-38400" yWindow="500" windowWidth="38400" windowHeight="23500" xr2:uid="{529E9AC1-277B-8143-A976-CB61AEB5BC98}"/>
  </bookViews>
  <sheets>
    <sheet name="Dashboard" sheetId="14" r:id="rId1"/>
    <sheet name="pivot_tables" sheetId="13" r:id="rId2"/>
    <sheet name="fact_earnings" sheetId="23" r:id="rId3"/>
  </sheets>
  <definedNames>
    <definedName name="ExternalData_16" localSheetId="2" hidden="1">fact_earnings!$A$1:$K$63</definedName>
    <definedName name="HOURS_GAMES">Dashboard!$E$5:$I$17</definedName>
    <definedName name="Slicer_Club1">#N/A</definedName>
    <definedName name="Slicer_Month1">#N/A</definedName>
    <definedName name="Slicer_Year">#N/A</definedName>
  </definedNames>
  <calcPr calcId="191029"/>
  <pivotCaches>
    <pivotCache cacheId="15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4" i="14" l="1"/>
  <c r="B16" i="14"/>
  <c r="O3" i="14" l="1"/>
  <c r="M3" i="14"/>
  <c r="Q3" i="14"/>
  <c r="S3" i="14"/>
  <c r="K3" i="14"/>
  <c r="U3" i="14" l="1"/>
  <c r="B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4C99CE-A448-1940-B597-AE83F93E507F}" keepAlive="1" name="Query - Expected_Blue_Lions" description="Connection to the 'Expected_Blue_Lions' query in the workbook." type="5" refreshedVersion="8" background="1" saveData="1">
    <dbPr connection="Provider=Microsoft.Mashup.OleDb.1;Data Source=$Workbook$;Location=Expected_Blue_Lions;Extended Properties=&quot;&quot;" command="SELECT * FROM [Expected_Blue_Lions]"/>
  </connection>
  <connection id="2" xr16:uid="{28BF2FF3-8590-8E43-A605-6BF7063141B5}" keepAlive="1" name="Query - Expected_Green_Devils" description="Connection to the 'Expected_Green_Devils' query in the workbook." type="5" refreshedVersion="8" background="1" saveData="1">
    <dbPr connection="Provider=Microsoft.Mashup.OleDb.1;Data Source=$Workbook$;Location=Expected_Green_Devils;Extended Properties=&quot;&quot;" command="SELECT * FROM [Expected_Green_Devils]"/>
  </connection>
  <connection id="3" xr16:uid="{7E45BCA6-A9DB-BF4F-B9E3-CA92A63F0388}" keepAlive="1" name="Query - Expected_Rasante" description="Connection to the 'Expected_Rasante' query in the workbook." type="5" refreshedVersion="8" background="1" saveData="1">
    <dbPr connection="Provider=Microsoft.Mashup.OleDb.1;Data Source=$Workbook$;Location=Expected_Rasante;Extended Properties=&quot;&quot;" command="SELECT * FROM [Expected_Rasante]"/>
  </connection>
  <connection id="4" xr16:uid="{2DF977CD-2311-3245-ABD5-791BF01B6F27}" keepAlive="1" name="Query - Expected_Stages" description="Connection to the 'Expected_Stages' query in the workbook." type="5" refreshedVersion="8" background="1" saveData="1">
    <dbPr connection="Provider=Microsoft.Mashup.OleDb.1;Data Source=$Workbook$;Location=Expected_Stages;Extended Properties=&quot;&quot;" command="SELECT * FROM [Expected_Stages]"/>
  </connection>
  <connection id="5" xr16:uid="{854BB58E-DE56-4F4E-837A-2E1F2E40C091}" keepAlive="1" name="Query - Final(1)" description="Connection to the 'Final' query in the workbook." type="5" refreshedVersion="8" background="1" saveData="1">
    <dbPr connection="Provider=Microsoft.Mashup.OleDb.1;Data Source=$Workbook$;Location=Final;Extended Properties=&quot;&quot;" command="SELECT * FROM [Final]"/>
  </connection>
  <connection id="6" xr16:uid="{436AC90E-7D45-A841-BDEF-5DD03B0E6A9C}" keepAlive="1" name="Query - Paid_Blue_Lions" description="Connection to the 'Paid_Blue_Lions' query in the workbook." type="5" refreshedVersion="8" background="1" saveData="1">
    <dbPr connection="Provider=Microsoft.Mashup.OleDb.1;Data Source=$Workbook$;Location=Paid_Blue_Lions;Extended Properties=&quot;&quot;" command="SELECT * FROM [Paid_Blue_Lions]"/>
  </connection>
  <connection id="7" xr16:uid="{8935A768-1620-3A45-AD5B-53DF158B7F39}" keepAlive="1" name="Query - Paid_Green_Devils" description="Connection to the 'Paid_Green_Devils' query in the workbook." type="5" refreshedVersion="8" background="1" saveData="1">
    <dbPr connection="Provider=Microsoft.Mashup.OleDb.1;Data Source=$Workbook$;Location=Paid_Green_Devils;Extended Properties=&quot;&quot;" command="SELECT * FROM [Paid_Green_Devils]"/>
  </connection>
  <connection id="8" xr16:uid="{004F0C21-3286-B841-BF62-FA833C3DD20B}" keepAlive="1" name="Query - Paid_Rasante" description="Connection to the 'Paid_Rasante' query in the workbook." type="5" refreshedVersion="8" background="1" saveData="1">
    <dbPr connection="Provider=Microsoft.Mashup.OleDb.1;Data Source=$Workbook$;Location=Paid_Rasante;Extended Properties=&quot;&quot;" command="SELECT * FROM [Paid_Rasante]"/>
  </connection>
  <connection id="9" xr16:uid="{6381EA54-5B50-A644-B2E8-97BC8C1E30EF}" keepAlive="1" name="Query - Paid_stages" description="Connection to the 'Paid_stages' query in the workbook." type="5" refreshedVersion="8" background="1" saveData="1">
    <dbPr connection="Provider=Microsoft.Mashup.OleDb.1;Data Source=$Workbook$;Location=Paid_stages;Extended Properties=&quot;&quot;" command="SELECT * FROM [Paid_stages]"/>
  </connection>
</connections>
</file>

<file path=xl/sharedStrings.xml><?xml version="1.0" encoding="utf-8"?>
<sst xmlns="http://schemas.openxmlformats.org/spreadsheetml/2006/main" count="437" uniqueCount="72">
  <si>
    <t>Month</t>
  </si>
  <si>
    <t>Hours</t>
  </si>
  <si>
    <t>Amount</t>
  </si>
  <si>
    <t>August</t>
  </si>
  <si>
    <t>September</t>
  </si>
  <si>
    <t>October</t>
  </si>
  <si>
    <t>November</t>
  </si>
  <si>
    <t>December</t>
  </si>
  <si>
    <t>January</t>
  </si>
  <si>
    <t>February</t>
  </si>
  <si>
    <t>March</t>
  </si>
  <si>
    <t>Year</t>
  </si>
  <si>
    <t>Date</t>
  </si>
  <si>
    <t>Category</t>
  </si>
  <si>
    <t>Type</t>
  </si>
  <si>
    <t>Club</t>
  </si>
  <si>
    <t>Paid</t>
  </si>
  <si>
    <t>Quantity</t>
  </si>
  <si>
    <t>Expected</t>
  </si>
  <si>
    <t>Games</t>
  </si>
  <si>
    <t>Sum of Amount</t>
  </si>
  <si>
    <t>Column Labels</t>
  </si>
  <si>
    <t>Row Labels</t>
  </si>
  <si>
    <t>Grand Total</t>
  </si>
  <si>
    <t>PAID</t>
  </si>
  <si>
    <t>Year_Month_Text</t>
  </si>
  <si>
    <t>Year_Month</t>
  </si>
  <si>
    <t>Month Number</t>
  </si>
  <si>
    <t>2025-08</t>
  </si>
  <si>
    <t>2025-09</t>
  </si>
  <si>
    <t>2025-10</t>
  </si>
  <si>
    <t>2025-11</t>
  </si>
  <si>
    <t>2025-12</t>
  </si>
  <si>
    <t>2026-02</t>
  </si>
  <si>
    <t>2026-03</t>
  </si>
  <si>
    <t>2026-01</t>
  </si>
  <si>
    <t>CLUB FINANCIAL FLOW</t>
  </si>
  <si>
    <t>Sum of Paid Positive</t>
  </si>
  <si>
    <t>Total Sum of Field1</t>
  </si>
  <si>
    <t>Sum of Field1</t>
  </si>
  <si>
    <t>Total Sum of Field1_2</t>
  </si>
  <si>
    <t>Sum of Field1_2</t>
  </si>
  <si>
    <t>2026-04</t>
  </si>
  <si>
    <t>April</t>
  </si>
  <si>
    <t>Days</t>
  </si>
  <si>
    <t>2026-05</t>
  </si>
  <si>
    <t>May</t>
  </si>
  <si>
    <t>Estimated</t>
  </si>
  <si>
    <t>2026-06</t>
  </si>
  <si>
    <t>June</t>
  </si>
  <si>
    <t>2026-07</t>
  </si>
  <si>
    <t>July</t>
  </si>
  <si>
    <t>2026-08</t>
  </si>
  <si>
    <t>(All)</t>
  </si>
  <si>
    <t>Blue Warriors</t>
  </si>
  <si>
    <t>Emerald Demons</t>
  </si>
  <si>
    <t>Orange Titans</t>
  </si>
  <si>
    <t>PHX Hockey</t>
  </si>
  <si>
    <t>COLLECTION RATE</t>
  </si>
  <si>
    <t>TOTAL 
EXPECTED</t>
  </si>
  <si>
    <t>TOTAL 
PENDING</t>
  </si>
  <si>
    <t>TOTAL 
EARNED</t>
  </si>
  <si>
    <t>PROJECTED INCOME</t>
  </si>
  <si>
    <t>Model</t>
  </si>
  <si>
    <t>Daily tiered (€150 → €200)</t>
  </si>
  <si>
    <t>Hourly (30€/h)</t>
  </si>
  <si>
    <t>Retainer + Hourly (35€/h)</t>
  </si>
  <si>
    <t>Green Emerald</t>
  </si>
  <si>
    <t>INCOME MODEL BY CLUB</t>
  </si>
  <si>
    <t>Game Video Analysis (60€/h per video)</t>
  </si>
  <si>
    <t>INSIGHT</t>
  </si>
  <si>
    <t>ACTIVITY BY CLUB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</si>
</sst>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80C]"/>
    <numFmt numFmtId="165" formatCode="#.##0##&quot; €&quot;"/>
  </numFmts>
  <fonts count="16">
    <font>
      <sz val="12"/>
      <color theme="1"/>
      <name val="Calibri"/>
      <family val="2"/>
      <scheme val="minor"/>
    </font>
    <font>
      <sz val="12"/>
      <color theme="1"/>
      <name val="Avenir Next Condensed Regular"/>
    </font>
    <font>
      <sz val="28"/>
      <color theme="1"/>
      <name val="Avenir Next Condensed Regular"/>
    </font>
    <font>
      <b/>
      <sz val="28"/>
      <color theme="1"/>
      <name val="Avenir Next Condensed Regular"/>
    </font>
    <font>
      <b/>
      <sz val="28"/>
      <color theme="9" tint="-0.499984740745262"/>
      <name val="Avenir Next Condensed Regular"/>
    </font>
    <font>
      <b/>
      <sz val="36"/>
      <color theme="1"/>
      <name val="Avenir Next Condensed Regular"/>
    </font>
    <font>
      <sz val="28"/>
      <color theme="0" tint="-0.499984740745262"/>
      <name val="Avenir Next Condensed Regular"/>
    </font>
    <font>
      <sz val="12"/>
      <color theme="0" tint="-0.499984740745262"/>
      <name val="Avenir Next Condensed Regular"/>
    </font>
    <font>
      <sz val="24"/>
      <color theme="1"/>
      <name val="Avenir Next Condensed Regular"/>
    </font>
    <font>
      <b/>
      <sz val="12"/>
      <color theme="1"/>
      <name val="Avenir Next Condensed Regular"/>
    </font>
    <font>
      <b/>
      <sz val="12"/>
      <color theme="1" tint="0.249977111117893"/>
      <name val="Avenir Next Condensed Regular"/>
    </font>
    <font>
      <sz val="20"/>
      <color theme="2" tint="-0.499984740745262"/>
      <name val="Avenir Next Condensed Regular"/>
    </font>
    <font>
      <b/>
      <sz val="24"/>
      <color theme="1" tint="0.249977111117893"/>
      <name val="Avenir Next Condensed Regular"/>
    </font>
    <font>
      <b/>
      <sz val="24"/>
      <color theme="1"/>
      <name val="Avenir Next Condensed Regular"/>
    </font>
    <font>
      <b/>
      <sz val="60"/>
      <color theme="1" tint="0.249977111117893"/>
      <name val="Avenir Next Condensed Regular"/>
    </font>
    <font>
      <sz val="24"/>
      <color theme="1" tint="0.14999847407452621"/>
      <name val="Avenir Next Condensed Regular"/>
    </font>
  </fonts>
  <fills count="13">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DEDED"/>
        <bgColor indexed="64"/>
      </patternFill>
    </fill>
    <fill>
      <patternFill patternType="solid">
        <fgColor rgb="FFC5E0B5"/>
        <bgColor indexed="64"/>
      </patternFill>
    </fill>
    <fill>
      <patternFill patternType="solid">
        <fgColor rgb="FFBED8EF"/>
        <bgColor indexed="64"/>
      </patternFill>
    </fill>
    <fill>
      <patternFill patternType="solid">
        <fgColor rgb="FFF8CBAD"/>
        <bgColor indexed="64"/>
      </patternFill>
    </fill>
    <fill>
      <patternFill patternType="solid">
        <fgColor rgb="FFE6D9F7"/>
        <bgColor indexed="64"/>
      </patternFill>
    </fill>
    <fill>
      <patternFill patternType="solid">
        <fgColor rgb="FFF4EBFF"/>
        <bgColor indexed="64"/>
      </patternFill>
    </fill>
  </fills>
  <borders count="6">
    <border>
      <left/>
      <right/>
      <top/>
      <bottom/>
      <diagonal/>
    </border>
    <border>
      <left/>
      <right/>
      <top/>
      <bottom style="thin">
        <color theme="1" tint="0.24994659260841701"/>
      </bottom>
      <diagonal/>
    </border>
    <border>
      <left/>
      <right/>
      <top/>
      <bottom style="hair">
        <color auto="1"/>
      </bottom>
      <diagonal/>
    </border>
    <border>
      <left/>
      <right/>
      <top style="hair">
        <color theme="1" tint="0.249977111117893"/>
      </top>
      <bottom/>
      <diagonal/>
    </border>
    <border>
      <left/>
      <right/>
      <top/>
      <bottom style="thin">
        <color indexed="64"/>
      </bottom>
      <diagonal/>
    </border>
    <border>
      <left/>
      <right/>
      <top style="thin">
        <color indexed="64"/>
      </top>
      <bottom/>
      <diagonal/>
    </border>
  </borders>
  <cellStyleXfs count="1">
    <xf numFmtId="0" fontId="0" fillId="0" borderId="0"/>
  </cellStyleXfs>
  <cellXfs count="62">
    <xf numFmtId="0" fontId="0" fillId="0" borderId="0" xfId="0"/>
    <xf numFmtId="0" fontId="1" fillId="0" borderId="0" xfId="0" pivotButton="1" applyFont="1"/>
    <xf numFmtId="0" fontId="1" fillId="0" borderId="0" xfId="0" applyFont="1"/>
    <xf numFmtId="0" fontId="1" fillId="3" borderId="0" xfId="0" applyFont="1" applyFill="1"/>
    <xf numFmtId="0" fontId="1" fillId="3" borderId="0" xfId="0" applyFont="1" applyFill="1" applyAlignment="1">
      <alignment horizontal="center" vertical="center"/>
    </xf>
    <xf numFmtId="0" fontId="1" fillId="5" borderId="0" xfId="0" applyFont="1" applyFill="1" applyAlignment="1">
      <alignment horizontal="center" vertical="center"/>
    </xf>
    <xf numFmtId="0" fontId="8" fillId="3" borderId="1" xfId="0" applyFont="1" applyFill="1" applyBorder="1" applyAlignment="1">
      <alignment horizontal="center"/>
    </xf>
    <xf numFmtId="10" fontId="1" fillId="0" borderId="0" xfId="0" applyNumberFormat="1" applyFont="1"/>
    <xf numFmtId="0" fontId="9" fillId="3" borderId="0" xfId="0" applyFont="1" applyFill="1" applyAlignment="1">
      <alignment horizontal="center" vertical="center"/>
    </xf>
    <xf numFmtId="0" fontId="10" fillId="3" borderId="0" xfId="0" applyFont="1" applyFill="1" applyAlignment="1">
      <alignment horizontal="center" vertical="center"/>
    </xf>
    <xf numFmtId="0" fontId="3" fillId="3" borderId="0" xfId="0" applyFont="1" applyFill="1" applyAlignment="1">
      <alignment horizontal="center" vertical="center"/>
    </xf>
    <xf numFmtId="164" fontId="4" fillId="3" borderId="0" xfId="0" applyNumberFormat="1" applyFont="1" applyFill="1" applyAlignment="1">
      <alignment horizontal="center" vertical="center"/>
    </xf>
    <xf numFmtId="0" fontId="2" fillId="3" borderId="0" xfId="0" applyFont="1" applyFill="1" applyAlignment="1">
      <alignment horizontal="center" vertical="center"/>
    </xf>
    <xf numFmtId="0" fontId="5" fillId="3" borderId="0" xfId="0" applyFont="1" applyFill="1" applyAlignment="1">
      <alignment horizontal="center" vertical="center"/>
    </xf>
    <xf numFmtId="164" fontId="5" fillId="3" borderId="0" xfId="0" applyNumberFormat="1" applyFont="1" applyFill="1" applyAlignment="1">
      <alignment horizontal="center" vertical="center"/>
    </xf>
    <xf numFmtId="164" fontId="1" fillId="3" borderId="0" xfId="0" applyNumberFormat="1" applyFont="1" applyFill="1"/>
    <xf numFmtId="0" fontId="7" fillId="3" borderId="0" xfId="0" applyFont="1" applyFill="1"/>
    <xf numFmtId="164" fontId="6" fillId="3" borderId="0" xfId="0" applyNumberFormat="1" applyFont="1" applyFill="1"/>
    <xf numFmtId="164" fontId="11" fillId="7" borderId="0" xfId="0" applyNumberFormat="1" applyFont="1" applyFill="1" applyAlignment="1">
      <alignment horizontal="center" vertical="center"/>
    </xf>
    <xf numFmtId="10" fontId="11" fillId="7" borderId="0" xfId="0" applyNumberFormat="1" applyFont="1" applyFill="1" applyAlignment="1">
      <alignment horizontal="center" vertical="center"/>
    </xf>
    <xf numFmtId="0" fontId="1" fillId="3" borderId="0" xfId="0" applyFont="1" applyFill="1" applyAlignment="1">
      <alignment horizontal="left"/>
    </xf>
    <xf numFmtId="0" fontId="1" fillId="3" borderId="0" xfId="0" applyFont="1" applyFill="1" applyAlignment="1">
      <alignment horizontal="center"/>
    </xf>
    <xf numFmtId="0" fontId="1" fillId="0" borderId="0" xfId="0" applyFont="1" applyAlignment="1">
      <alignment horizontal="left"/>
    </xf>
    <xf numFmtId="0" fontId="1" fillId="0" borderId="0" xfId="0" applyFont="1" applyAlignment="1">
      <alignment horizontal="left" indent="1"/>
    </xf>
    <xf numFmtId="164" fontId="1" fillId="0" borderId="0" xfId="0" applyNumberFormat="1" applyFont="1"/>
    <xf numFmtId="165" fontId="1" fillId="0" borderId="0" xfId="0" applyNumberFormat="1" applyFont="1"/>
    <xf numFmtId="0" fontId="1" fillId="8" borderId="0" xfId="0" applyFont="1" applyFill="1" applyAlignment="1">
      <alignment horizontal="center" vertical="center" wrapText="1"/>
    </xf>
    <xf numFmtId="0" fontId="1" fillId="3" borderId="2" xfId="0" applyFont="1" applyFill="1" applyBorder="1" applyAlignment="1">
      <alignment horizontal="left"/>
    </xf>
    <xf numFmtId="0" fontId="9" fillId="3" borderId="3" xfId="0" applyFont="1" applyFill="1" applyBorder="1" applyAlignment="1">
      <alignment horizontal="left"/>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1" fillId="11" borderId="0" xfId="0" applyFont="1" applyFill="1" applyAlignment="1">
      <alignment horizontal="center" vertical="center" wrapText="1"/>
    </xf>
    <xf numFmtId="14" fontId="1" fillId="0" borderId="0" xfId="0" applyNumberFormat="1" applyFont="1"/>
    <xf numFmtId="0" fontId="12" fillId="5" borderId="0" xfId="0" applyFont="1" applyFill="1" applyAlignment="1">
      <alignment horizontal="center" vertical="center" wrapText="1"/>
    </xf>
    <xf numFmtId="0" fontId="12" fillId="3" borderId="0" xfId="0" applyFont="1" applyFill="1" applyAlignment="1">
      <alignment wrapText="1"/>
    </xf>
    <xf numFmtId="0" fontId="13" fillId="3" borderId="0" xfId="0" applyFont="1" applyFill="1" applyAlignment="1">
      <alignment wrapText="1"/>
    </xf>
    <xf numFmtId="0" fontId="9" fillId="0" borderId="0" xfId="0" applyFont="1"/>
    <xf numFmtId="0" fontId="9" fillId="0" borderId="0" xfId="0" applyFont="1" applyAlignment="1">
      <alignment vertical="center"/>
    </xf>
    <xf numFmtId="0" fontId="15" fillId="3" borderId="1" xfId="0" applyFont="1" applyFill="1" applyBorder="1" applyAlignment="1">
      <alignment horizontal="left" vertical="top"/>
    </xf>
    <xf numFmtId="0" fontId="1" fillId="3" borderId="0" xfId="0" applyFont="1" applyFill="1" applyAlignment="1">
      <alignment horizontal="left" wrapText="1"/>
    </xf>
    <xf numFmtId="0" fontId="1" fillId="3" borderId="0" xfId="0" applyFont="1" applyFill="1" applyAlignment="1">
      <alignment horizontal="center" vertical="center"/>
    </xf>
    <xf numFmtId="0" fontId="1" fillId="3" borderId="5" xfId="0" applyFont="1" applyFill="1" applyBorder="1" applyAlignment="1">
      <alignment horizontal="left" wrapText="1"/>
    </xf>
    <xf numFmtId="0" fontId="14" fillId="5" borderId="0" xfId="0" applyFont="1" applyFill="1" applyAlignment="1">
      <alignment horizontal="center" vertical="center"/>
    </xf>
    <xf numFmtId="0" fontId="13" fillId="3" borderId="4" xfId="0" applyFont="1" applyFill="1" applyBorder="1" applyAlignment="1">
      <alignment horizontal="left" vertical="center"/>
    </xf>
    <xf numFmtId="0" fontId="13" fillId="3" borderId="0" xfId="0" applyFont="1" applyFill="1" applyAlignment="1">
      <alignment horizontal="left" vertical="top"/>
    </xf>
    <xf numFmtId="0" fontId="13" fillId="3" borderId="4" xfId="0" applyFont="1" applyFill="1" applyBorder="1" applyAlignment="1">
      <alignment horizontal="left" vertical="top"/>
    </xf>
    <xf numFmtId="0" fontId="1" fillId="0" borderId="0" xfId="0" applyNumberFormat="1" applyFont="1"/>
    <xf numFmtId="0" fontId="1" fillId="3" borderId="0" xfId="0" applyFont="1" applyFill="1" applyAlignment="1"/>
    <xf numFmtId="0" fontId="1" fillId="3" borderId="0" xfId="0" applyFont="1" applyFill="1" applyBorder="1" applyAlignment="1"/>
    <xf numFmtId="0" fontId="1" fillId="4" borderId="2" xfId="0" applyNumberFormat="1" applyFont="1" applyFill="1" applyBorder="1" applyAlignment="1">
      <alignment horizontal="center"/>
    </xf>
    <xf numFmtId="0" fontId="1" fillId="4" borderId="0" xfId="0" applyNumberFormat="1" applyFont="1" applyFill="1" applyAlignment="1">
      <alignment horizontal="center"/>
    </xf>
    <xf numFmtId="0" fontId="1" fillId="4" borderId="0" xfId="0" applyNumberFormat="1" applyFont="1" applyFill="1" applyBorder="1" applyAlignment="1">
      <alignment horizontal="center"/>
    </xf>
    <xf numFmtId="0" fontId="1" fillId="2" borderId="2" xfId="0" applyNumberFormat="1" applyFont="1" applyFill="1" applyBorder="1" applyAlignment="1">
      <alignment horizontal="center"/>
    </xf>
    <xf numFmtId="0" fontId="1" fillId="2" borderId="0" xfId="0" applyNumberFormat="1" applyFont="1" applyFill="1" applyAlignment="1">
      <alignment horizontal="center"/>
    </xf>
    <xf numFmtId="0" fontId="1" fillId="2" borderId="0" xfId="0" applyNumberFormat="1" applyFont="1" applyFill="1" applyBorder="1" applyAlignment="1">
      <alignment horizontal="center"/>
    </xf>
    <xf numFmtId="0" fontId="1" fillId="6" borderId="2" xfId="0" applyNumberFormat="1" applyFont="1" applyFill="1" applyBorder="1" applyAlignment="1">
      <alignment horizontal="center"/>
    </xf>
    <xf numFmtId="0" fontId="1" fillId="6" borderId="0" xfId="0" applyNumberFormat="1" applyFont="1" applyFill="1" applyAlignment="1">
      <alignment horizontal="center"/>
    </xf>
    <xf numFmtId="0" fontId="1" fillId="6" borderId="0" xfId="0" applyNumberFormat="1" applyFont="1" applyFill="1" applyBorder="1" applyAlignment="1">
      <alignment horizontal="center"/>
    </xf>
    <xf numFmtId="0" fontId="1" fillId="12" borderId="2" xfId="0" applyNumberFormat="1" applyFont="1" applyFill="1" applyBorder="1" applyAlignment="1">
      <alignment horizontal="center"/>
    </xf>
    <xf numFmtId="0" fontId="1" fillId="12" borderId="0" xfId="0" applyNumberFormat="1" applyFont="1" applyFill="1" applyAlignment="1">
      <alignment horizontal="center"/>
    </xf>
    <xf numFmtId="0" fontId="1" fillId="12" borderId="0" xfId="0" applyNumberFormat="1" applyFont="1" applyFill="1" applyBorder="1" applyAlignment="1">
      <alignment horizontal="center"/>
    </xf>
    <xf numFmtId="0" fontId="1" fillId="3" borderId="4" xfId="0" applyFont="1" applyFill="1" applyBorder="1" applyAlignment="1">
      <alignment horizontal="center"/>
    </xf>
  </cellXfs>
  <cellStyles count="1">
    <cellStyle name="Normal" xfId="0" builtinId="0"/>
  </cellStyles>
  <dxfs count="543">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b/>
      </font>
    </dxf>
    <dxf>
      <font>
        <b/>
      </font>
    </dxf>
    <dxf>
      <font>
        <b/>
      </font>
    </dxf>
    <dxf>
      <font>
        <b/>
      </font>
    </dxf>
    <dxf>
      <font>
        <b/>
      </font>
    </dxf>
    <dxf>
      <font>
        <b/>
      </font>
    </dxf>
    <dxf>
      <fill>
        <patternFill patternType="solid">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bgColor rgb="FFF9F9F9"/>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E3E3E3"/>
        </patternFill>
      </fill>
    </dxf>
    <dxf>
      <fill>
        <patternFill patternType="solid">
          <bgColor rgb="FFE3E3E3"/>
        </patternFill>
      </fill>
    </dxf>
    <dxf>
      <fill>
        <patternFill patternType="solid">
          <bgColor rgb="FFE3E3E3"/>
        </patternFill>
      </fill>
    </dxf>
    <dxf>
      <fill>
        <patternFill>
          <bgColor rgb="FFEDEDED"/>
        </patternFill>
      </fill>
    </dxf>
    <dxf>
      <fill>
        <patternFill>
          <bgColor rgb="FFEDEDED"/>
        </patternFill>
      </fill>
    </dxf>
    <dxf>
      <fill>
        <patternFill>
          <bgColor rgb="FFEDEDED"/>
        </patternFill>
      </fill>
    </dxf>
    <dxf>
      <fill>
        <patternFill patternType="solid">
          <bgColor rgb="FFEDEDED"/>
        </patternFill>
      </fill>
    </dxf>
    <dxf>
      <fill>
        <patternFill patternType="solid">
          <bgColor rgb="FFEDEDED"/>
        </patternFill>
      </fill>
    </dxf>
    <dxf>
      <font>
        <sz val="24"/>
      </font>
    </dxf>
    <dxf>
      <font>
        <sz val="24"/>
      </font>
    </dxf>
    <dxf>
      <alignment vertical="center"/>
    </dxf>
    <dxf>
      <fill>
        <patternFill>
          <bgColor theme="0"/>
        </patternFill>
      </fill>
    </dxf>
    <dxf>
      <fill>
        <patternFill>
          <bgColor theme="0"/>
        </patternFill>
      </fill>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border>
        <bottom style="thin">
          <color indexed="64"/>
        </bottom>
      </border>
    </dxf>
    <dxf>
      <font>
        <color theme="1" tint="0.249977111117893"/>
      </font>
    </dxf>
    <dxf>
      <border>
        <bottom style="thin">
          <color theme="1" tint="0.24994659260841701"/>
        </bottom>
      </border>
    </dxf>
    <dxf>
      <border>
        <bottom style="thin">
          <color theme="1" tint="0.24994659260841701"/>
        </bottom>
      </border>
    </dxf>
    <dxf>
      <fill>
        <patternFill>
          <bgColor theme="0"/>
        </patternFill>
      </fill>
    </dxf>
    <dxf>
      <fill>
        <patternFill>
          <bgColor theme="0"/>
        </patternFill>
      </fill>
    </dxf>
    <dxf>
      <border>
        <top style="hair">
          <color theme="1" tint="0.249977111117893"/>
        </top>
      </border>
    </dxf>
    <dxf>
      <border>
        <top style="hair">
          <color theme="1" tint="0.249977111117893"/>
        </top>
      </border>
    </dxf>
    <dxf>
      <border>
        <bottom style="hair">
          <color theme="1" tint="0.249977111117893"/>
        </bottom>
      </border>
    </dxf>
    <dxf>
      <border>
        <top style="hair">
          <color theme="1" tint="0.249977111117893"/>
        </top>
      </border>
    </dxf>
    <dxf>
      <font>
        <b val="0"/>
      </font>
    </dxf>
    <dxf>
      <border>
        <top style="thin">
          <color theme="1" tint="0.249977111117893"/>
        </top>
      </border>
    </dxf>
    <dxf>
      <border>
        <bottom style="hair">
          <color auto="1"/>
        </bottom>
      </border>
    </dxf>
    <dxf>
      <border>
        <bottom style="hair">
          <color auto="1"/>
        </bottom>
      </border>
    </dxf>
    <dxf>
      <border>
        <bottom style="hair">
          <color auto="1"/>
        </bottom>
      </border>
    </dxf>
    <dxf>
      <border>
        <bottom style="hair">
          <color auto="1"/>
        </bottom>
      </border>
    </dxf>
    <dxf>
      <fill>
        <patternFill patternType="solid">
          <fgColor indexed="64"/>
          <bgColor rgb="FFEDEDED"/>
        </patternFill>
      </fill>
    </dxf>
    <dxf>
      <border>
        <right/>
        <bottom/>
      </border>
    </dxf>
    <dxf>
      <border>
        <right/>
        <bottom/>
      </border>
    </dxf>
    <dxf>
      <fill>
        <patternFill patternType="solid">
          <bgColor rgb="FFF0C1E7"/>
        </patternFill>
      </fill>
    </dxf>
    <dxf>
      <fill>
        <patternFill patternType="solid">
          <bgColor rgb="FFF0C1E7"/>
        </patternFill>
      </fill>
    </dxf>
    <dxf>
      <fill>
        <patternFill patternType="solid">
          <bgColor rgb="FFF0C1E7"/>
        </patternFill>
      </fill>
    </dxf>
    <dxf>
      <fill>
        <patternFill patternType="solid">
          <bgColor rgb="FFF0C1E7"/>
        </patternFill>
      </fill>
    </dxf>
    <dxf>
      <fill>
        <patternFill patternType="solid">
          <bgColor rgb="FFF0C1E7"/>
        </patternFill>
      </fill>
    </dxf>
    <dxf>
      <fill>
        <patternFill>
          <bgColor rgb="FFF1C1E7"/>
        </patternFill>
      </fill>
    </dxf>
    <dxf>
      <fill>
        <patternFill>
          <bgColor rgb="FFF1C1E7"/>
        </patternFill>
      </fill>
    </dxf>
    <dxf>
      <fill>
        <patternFill>
          <bgColor rgb="FFF1C1E7"/>
        </patternFill>
      </fill>
    </dxf>
    <dxf>
      <fill>
        <patternFill>
          <bgColor rgb="FFF1C1E7"/>
        </patternFill>
      </fill>
    </dxf>
    <dxf>
      <fill>
        <patternFill>
          <bgColor rgb="FFF1C1E7"/>
        </patternFill>
      </fill>
    </dxf>
    <dxf>
      <fill>
        <patternFill patternType="solid">
          <fgColor indexed="64"/>
          <bgColor rgb="FFEDEDED"/>
        </patternFill>
      </fill>
    </dxf>
    <dxf>
      <fill>
        <patternFill patternType="solid">
          <fgColor indexed="64"/>
          <bgColor rgb="FFEDEDED"/>
        </patternFill>
      </fill>
    </dxf>
    <dxf>
      <fill>
        <patternFill patternType="solid">
          <fgColor indexed="64"/>
          <bgColor rgb="FFEDEDED"/>
        </patternFill>
      </fill>
    </dxf>
    <dxf>
      <fill>
        <patternFill patternType="solid">
          <fgColor indexed="64"/>
          <bgColor rgb="FFEDEDED"/>
        </patternFill>
      </fill>
    </dxf>
    <dxf>
      <fill>
        <patternFill patternType="solid">
          <fgColor indexed="64"/>
          <bgColor theme="8" tint="0.79998168889431442"/>
        </patternFill>
      </fill>
    </dxf>
    <dxf>
      <alignment horizontal="general" indent="0"/>
    </dxf>
    <dxf>
      <fill>
        <patternFill>
          <bgColor rgb="FFC5E0B5"/>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fgColor indexed="64"/>
          <bgColor rgb="FFF9F9F9"/>
        </patternFill>
      </fill>
    </dxf>
    <dxf>
      <border>
        <bottom/>
      </border>
    </dxf>
    <dxf>
      <fill>
        <patternFill>
          <bgColor rgb="FFBED8EF"/>
        </patternFill>
      </fill>
    </dxf>
    <dxf>
      <fill>
        <patternFill>
          <bgColor rgb="FFF8CBAD"/>
        </patternFill>
      </fill>
    </dxf>
    <dxf>
      <fill>
        <patternFill>
          <bgColor rgb="FFE6D9F7"/>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rgb="FFF4EBFF"/>
        </patternFill>
      </fill>
    </dxf>
    <dxf>
      <fill>
        <patternFill>
          <fgColor rgb="FFBED8EF"/>
        </patternFill>
      </fill>
      <alignment vertical="center" wrapText="1"/>
    </dxf>
    <dxf>
      <font>
        <color theme="1" tint="0.14999847407452621"/>
      </font>
    </dxf>
    <dxf>
      <alignment vertical="top"/>
    </dxf>
    <dxf>
      <fill>
        <patternFill>
          <fgColor indexed="64"/>
          <bgColor rgb="FFBED8EF"/>
        </patternFill>
      </fill>
    </dxf>
    <dxf>
      <numFmt numFmtId="164" formatCode="#,##0.00\ [$€-80C]"/>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numFmt numFmtId="164" formatCode="#,##0.00\ [$€-80C]"/>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numFmt numFmtId="14" formatCode="0.00%"/>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numFmt numFmtId="164" formatCode="#,##0.00\ [$€-80C]"/>
    </dxf>
    <dxf>
      <numFmt numFmtId="166" formatCode="#.##0&quot; €&quot;;#.##0&quot; €&quot;"/>
    </dxf>
    <dxf>
      <font>
        <sz val="12"/>
      </font>
    </dxf>
    <dxf>
      <numFmt numFmtId="165" formatCode="#.##0##&quot; €&quo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numFmt numFmtId="164" formatCode="#,##0.00\ [$€-80C]"/>
    </dxf>
    <dxf>
      <alignment horizontal="center"/>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b/>
      </font>
    </dxf>
    <dxf>
      <font>
        <b/>
      </font>
    </dxf>
    <dxf>
      <font>
        <b/>
      </font>
    </dxf>
    <dxf>
      <font>
        <b/>
      </font>
    </dxf>
    <dxf>
      <font>
        <b/>
      </font>
    </dxf>
    <dxf>
      <font>
        <b/>
      </font>
    </dxf>
    <dxf>
      <fill>
        <patternFill patternType="solid">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bgColor rgb="FFF9F9F9"/>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E3E3E3"/>
        </patternFill>
      </fill>
    </dxf>
    <dxf>
      <fill>
        <patternFill patternType="solid">
          <bgColor rgb="FFE3E3E3"/>
        </patternFill>
      </fill>
    </dxf>
    <dxf>
      <fill>
        <patternFill patternType="solid">
          <bgColor rgb="FFE3E3E3"/>
        </patternFill>
      </fill>
    </dxf>
    <dxf>
      <fill>
        <patternFill>
          <bgColor rgb="FFEDEDED"/>
        </patternFill>
      </fill>
    </dxf>
    <dxf>
      <fill>
        <patternFill>
          <bgColor rgb="FFEDEDED"/>
        </patternFill>
      </fill>
    </dxf>
    <dxf>
      <fill>
        <patternFill>
          <bgColor rgb="FFEDEDED"/>
        </patternFill>
      </fill>
    </dxf>
    <dxf>
      <fill>
        <patternFill patternType="solid">
          <bgColor rgb="FFEDEDED"/>
        </patternFill>
      </fill>
    </dxf>
    <dxf>
      <fill>
        <patternFill patternType="solid">
          <bgColor rgb="FFEDEDED"/>
        </patternFill>
      </fill>
    </dxf>
    <dxf>
      <font>
        <sz val="24"/>
      </font>
    </dxf>
    <dxf>
      <font>
        <sz val="24"/>
      </font>
    </dxf>
    <dxf>
      <alignment vertical="center"/>
    </dxf>
    <dxf>
      <fill>
        <patternFill>
          <bgColor theme="0"/>
        </patternFill>
      </fill>
    </dxf>
    <dxf>
      <fill>
        <patternFill>
          <bgColor theme="0"/>
        </patternFill>
      </fill>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border>
        <bottom style="thin">
          <color indexed="64"/>
        </bottom>
      </border>
    </dxf>
    <dxf>
      <font>
        <color theme="1" tint="0.249977111117893"/>
      </font>
    </dxf>
    <dxf>
      <border>
        <bottom style="thin">
          <color theme="1" tint="0.24994659260841701"/>
        </bottom>
      </border>
    </dxf>
    <dxf>
      <border>
        <bottom style="thin">
          <color theme="1" tint="0.24994659260841701"/>
        </bottom>
      </border>
    </dxf>
    <dxf>
      <fill>
        <patternFill>
          <bgColor theme="0"/>
        </patternFill>
      </fill>
    </dxf>
    <dxf>
      <fill>
        <patternFill>
          <bgColor theme="0"/>
        </patternFill>
      </fill>
    </dxf>
    <dxf>
      <border>
        <top style="hair">
          <color theme="1" tint="0.249977111117893"/>
        </top>
      </border>
    </dxf>
    <dxf>
      <border>
        <top style="hair">
          <color theme="1" tint="0.249977111117893"/>
        </top>
      </border>
    </dxf>
    <dxf>
      <border>
        <bottom style="hair">
          <color theme="1" tint="0.249977111117893"/>
        </bottom>
      </border>
    </dxf>
    <dxf>
      <border>
        <top style="hair">
          <color theme="1" tint="0.249977111117893"/>
        </top>
      </border>
    </dxf>
    <dxf>
      <font>
        <b val="0"/>
      </font>
    </dxf>
    <dxf>
      <border>
        <top style="thin">
          <color theme="1" tint="0.249977111117893"/>
        </top>
      </border>
    </dxf>
    <dxf>
      <border>
        <bottom style="hair">
          <color auto="1"/>
        </bottom>
      </border>
    </dxf>
    <dxf>
      <border>
        <bottom style="hair">
          <color auto="1"/>
        </bottom>
      </border>
    </dxf>
    <dxf>
      <border>
        <bottom style="hair">
          <color auto="1"/>
        </bottom>
      </border>
    </dxf>
    <dxf>
      <border>
        <bottom style="hair">
          <color auto="1"/>
        </bottom>
      </border>
    </dxf>
    <dxf>
      <fill>
        <patternFill patternType="solid">
          <fgColor indexed="64"/>
          <bgColor rgb="FFEDEDED"/>
        </patternFill>
      </fill>
    </dxf>
    <dxf>
      <border>
        <right/>
        <bottom/>
      </border>
    </dxf>
    <dxf>
      <border>
        <right/>
        <bottom/>
      </border>
    </dxf>
    <dxf>
      <fill>
        <patternFill patternType="solid">
          <bgColor rgb="FFF0C1E7"/>
        </patternFill>
      </fill>
    </dxf>
    <dxf>
      <fill>
        <patternFill patternType="solid">
          <bgColor rgb="FFF0C1E7"/>
        </patternFill>
      </fill>
    </dxf>
    <dxf>
      <fill>
        <patternFill patternType="solid">
          <bgColor rgb="FFF0C1E7"/>
        </patternFill>
      </fill>
    </dxf>
    <dxf>
      <fill>
        <patternFill patternType="solid">
          <bgColor rgb="FFF0C1E7"/>
        </patternFill>
      </fill>
    </dxf>
    <dxf>
      <fill>
        <patternFill patternType="solid">
          <bgColor rgb="FFF0C1E7"/>
        </patternFill>
      </fill>
    </dxf>
    <dxf>
      <fill>
        <patternFill>
          <bgColor rgb="FFF1C1E7"/>
        </patternFill>
      </fill>
    </dxf>
    <dxf>
      <fill>
        <patternFill>
          <bgColor rgb="FFF1C1E7"/>
        </patternFill>
      </fill>
    </dxf>
    <dxf>
      <fill>
        <patternFill>
          <bgColor rgb="FFF1C1E7"/>
        </patternFill>
      </fill>
    </dxf>
    <dxf>
      <fill>
        <patternFill>
          <bgColor rgb="FFF1C1E7"/>
        </patternFill>
      </fill>
    </dxf>
    <dxf>
      <fill>
        <patternFill>
          <bgColor rgb="FFF1C1E7"/>
        </patternFill>
      </fill>
    </dxf>
    <dxf>
      <fill>
        <patternFill patternType="solid">
          <fgColor indexed="64"/>
          <bgColor rgb="FFEDEDED"/>
        </patternFill>
      </fill>
    </dxf>
    <dxf>
      <fill>
        <patternFill patternType="solid">
          <fgColor indexed="64"/>
          <bgColor rgb="FFEDEDED"/>
        </patternFill>
      </fill>
    </dxf>
    <dxf>
      <fill>
        <patternFill patternType="solid">
          <fgColor indexed="64"/>
          <bgColor rgb="FFEDEDED"/>
        </patternFill>
      </fill>
    </dxf>
    <dxf>
      <fill>
        <patternFill patternType="solid">
          <fgColor indexed="64"/>
          <bgColor rgb="FFEDEDED"/>
        </patternFill>
      </fill>
    </dxf>
    <dxf>
      <fill>
        <patternFill patternType="solid">
          <fgColor indexed="64"/>
          <bgColor theme="8" tint="0.79998168889431442"/>
        </patternFill>
      </fill>
    </dxf>
    <dxf>
      <alignment horizontal="general" indent="0"/>
    </dxf>
    <dxf>
      <fill>
        <patternFill>
          <bgColor rgb="FFC5E0B5"/>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fgColor indexed="64"/>
          <bgColor rgb="FFF9F9F9"/>
        </patternFill>
      </fill>
    </dxf>
    <dxf>
      <border>
        <bottom/>
      </border>
    </dxf>
    <dxf>
      <fill>
        <patternFill>
          <bgColor rgb="FFBED8EF"/>
        </patternFill>
      </fill>
    </dxf>
    <dxf>
      <fill>
        <patternFill>
          <bgColor rgb="FFF8CBAD"/>
        </patternFill>
      </fill>
    </dxf>
    <dxf>
      <fill>
        <patternFill>
          <bgColor rgb="FFE6D9F7"/>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rgb="FFF4EBFF"/>
        </patternFill>
      </fill>
    </dxf>
    <dxf>
      <fill>
        <patternFill>
          <fgColor rgb="FFBED8EF"/>
        </patternFill>
      </fill>
      <alignment vertical="center" wrapText="1"/>
    </dxf>
    <dxf>
      <font>
        <color theme="1" tint="0.14999847407452621"/>
      </font>
    </dxf>
    <dxf>
      <alignment vertical="top"/>
    </dxf>
    <dxf>
      <fill>
        <patternFill>
          <fgColor indexed="64"/>
          <bgColor rgb="FFBED8EF"/>
        </patternFill>
      </fill>
    </dxf>
    <dxf>
      <font>
        <strike val="0"/>
        <outline val="0"/>
        <shadow val="0"/>
        <u val="none"/>
        <vertAlign val="baseline"/>
        <sz val="12"/>
        <color theme="1"/>
        <name val="Avenir Next Condensed Regular"/>
        <scheme val="none"/>
      </font>
    </dxf>
    <dxf>
      <font>
        <strike val="0"/>
        <outline val="0"/>
        <shadow val="0"/>
        <u val="none"/>
        <vertAlign val="baseline"/>
        <sz val="12"/>
        <color theme="1"/>
        <name val="Avenir Next Condensed Regular"/>
        <scheme val="none"/>
      </font>
      <numFmt numFmtId="0" formatCode="General"/>
    </dxf>
    <dxf>
      <font>
        <strike val="0"/>
        <outline val="0"/>
        <shadow val="0"/>
        <u val="none"/>
        <vertAlign val="baseline"/>
        <sz val="12"/>
        <color theme="1"/>
        <name val="Avenir Next Condensed Regular"/>
        <scheme val="none"/>
      </font>
      <numFmt numFmtId="0" formatCode="General"/>
    </dxf>
    <dxf>
      <font>
        <strike val="0"/>
        <outline val="0"/>
        <shadow val="0"/>
        <u val="none"/>
        <vertAlign val="baseline"/>
        <sz val="12"/>
        <color theme="1"/>
        <name val="Avenir Next Condensed Regular"/>
        <scheme val="none"/>
      </font>
      <numFmt numFmtId="0" formatCode="General"/>
    </dxf>
    <dxf>
      <font>
        <strike val="0"/>
        <outline val="0"/>
        <shadow val="0"/>
        <u val="none"/>
        <vertAlign val="baseline"/>
        <sz val="12"/>
        <color theme="1"/>
        <name val="Avenir Next Condensed Regular"/>
        <scheme val="none"/>
      </font>
    </dxf>
    <dxf>
      <font>
        <strike val="0"/>
        <outline val="0"/>
        <shadow val="0"/>
        <u val="none"/>
        <vertAlign val="baseline"/>
        <sz val="12"/>
        <color theme="1"/>
        <name val="Avenir Next Condensed Regular"/>
        <scheme val="none"/>
      </font>
      <numFmt numFmtId="19" formatCode="d/m/yyyy"/>
    </dxf>
    <dxf>
      <font>
        <strike val="0"/>
        <outline val="0"/>
        <shadow val="0"/>
        <u val="none"/>
        <vertAlign val="baseline"/>
        <sz val="12"/>
        <color theme="1"/>
        <name val="Avenir Next Condensed Regular"/>
        <scheme val="none"/>
      </font>
    </dxf>
    <dxf>
      <font>
        <strike val="0"/>
        <outline val="0"/>
        <shadow val="0"/>
        <u val="none"/>
        <vertAlign val="baseline"/>
        <sz val="12"/>
        <color theme="1"/>
        <name val="Avenir Next Condensed Regular"/>
        <scheme val="none"/>
      </font>
    </dxf>
    <dxf>
      <font>
        <strike val="0"/>
        <outline val="0"/>
        <shadow val="0"/>
        <u val="none"/>
        <vertAlign val="baseline"/>
        <sz val="12"/>
        <color theme="1"/>
        <name val="Avenir Next Condensed Regular"/>
        <scheme val="none"/>
      </font>
    </dxf>
    <dxf>
      <font>
        <strike val="0"/>
        <outline val="0"/>
        <shadow val="0"/>
        <u val="none"/>
        <vertAlign val="baseline"/>
        <sz val="12"/>
        <color theme="1"/>
        <name val="Avenir Next Condensed Regular"/>
        <scheme val="none"/>
      </font>
    </dxf>
    <dxf>
      <font>
        <strike val="0"/>
        <outline val="0"/>
        <shadow val="0"/>
        <u val="none"/>
        <vertAlign val="baseline"/>
        <sz val="12"/>
        <color theme="1"/>
        <name val="Avenir Next Condensed Regular"/>
        <scheme val="none"/>
      </font>
    </dxf>
    <dxf>
      <font>
        <strike val="0"/>
        <outline val="0"/>
        <shadow val="0"/>
        <u val="none"/>
        <vertAlign val="baseline"/>
        <sz val="12"/>
        <color theme="1"/>
        <name val="Avenir Next Condensed Regular"/>
        <scheme val="none"/>
      </font>
    </dxf>
    <dxf>
      <font>
        <strike val="0"/>
        <outline val="0"/>
        <shadow val="0"/>
        <u val="none"/>
        <vertAlign val="baseline"/>
        <sz val="12"/>
        <color theme="1"/>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alignment horizontal="center"/>
    </dxf>
    <dxf>
      <numFmt numFmtId="164" formatCode="#,##0.00\ [$€-80C]"/>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numFmt numFmtId="165" formatCode="#.##0##&quot; €&quot;"/>
    </dxf>
    <dxf>
      <font>
        <sz val="12"/>
      </font>
    </dxf>
    <dxf>
      <numFmt numFmtId="166" formatCode="#.##0&quot; €&quot;;#.##0&quot; €&quot;"/>
    </dxf>
    <dxf>
      <numFmt numFmtId="164" formatCode="#,##0.00\ [$€-80C]"/>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numFmt numFmtId="14" formatCode="0.00%"/>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numFmt numFmtId="164" formatCode="#,##0.00\ [$€-80C]"/>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numFmt numFmtId="164" formatCode="#,##0.00\ [$€-80C]"/>
    </dxf>
    <dxf>
      <fill>
        <patternFill>
          <fgColor indexed="64"/>
          <bgColor rgb="FFBED8EF"/>
        </patternFill>
      </fill>
    </dxf>
    <dxf>
      <alignment vertical="top"/>
    </dxf>
    <dxf>
      <font>
        <color theme="1" tint="0.14999847407452621"/>
      </font>
    </dxf>
    <dxf>
      <fill>
        <patternFill>
          <fgColor rgb="FFBED8EF"/>
        </patternFill>
      </fill>
      <alignment vertical="center" wrapText="1"/>
    </dxf>
    <dxf>
      <fill>
        <patternFill>
          <bgColor rgb="FFF4EBFF"/>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rgb="FFE6D9F7"/>
        </patternFill>
      </fill>
    </dxf>
    <dxf>
      <fill>
        <patternFill>
          <bgColor rgb="FFF8CBAD"/>
        </patternFill>
      </fill>
    </dxf>
    <dxf>
      <fill>
        <patternFill>
          <bgColor rgb="FFBED8EF"/>
        </patternFill>
      </fill>
    </dxf>
    <dxf>
      <border>
        <bottom/>
      </border>
    </dxf>
    <dxf>
      <fill>
        <patternFill patternType="solid">
          <fgColor indexed="64"/>
          <bgColor rgb="FFF9F9F9"/>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C5E0B5"/>
        </patternFill>
      </fill>
    </dxf>
    <dxf>
      <alignment horizontal="general" indent="0"/>
    </dxf>
    <dxf>
      <fill>
        <patternFill patternType="solid">
          <fgColor indexed="64"/>
          <bgColor theme="8" tint="0.79998168889431442"/>
        </patternFill>
      </fill>
    </dxf>
    <dxf>
      <fill>
        <patternFill patternType="solid">
          <fgColor indexed="64"/>
          <bgColor rgb="FFEDEDED"/>
        </patternFill>
      </fill>
    </dxf>
    <dxf>
      <fill>
        <patternFill patternType="solid">
          <fgColor indexed="64"/>
          <bgColor rgb="FFEDEDED"/>
        </patternFill>
      </fill>
    </dxf>
    <dxf>
      <fill>
        <patternFill patternType="solid">
          <fgColor indexed="64"/>
          <bgColor rgb="FFEDEDED"/>
        </patternFill>
      </fill>
    </dxf>
    <dxf>
      <fill>
        <patternFill patternType="solid">
          <fgColor indexed="64"/>
          <bgColor rgb="FFEDEDED"/>
        </patternFill>
      </fill>
    </dxf>
    <dxf>
      <fill>
        <patternFill>
          <bgColor rgb="FFF1C1E7"/>
        </patternFill>
      </fill>
    </dxf>
    <dxf>
      <fill>
        <patternFill>
          <bgColor rgb="FFF1C1E7"/>
        </patternFill>
      </fill>
    </dxf>
    <dxf>
      <fill>
        <patternFill>
          <bgColor rgb="FFF1C1E7"/>
        </patternFill>
      </fill>
    </dxf>
    <dxf>
      <fill>
        <patternFill>
          <bgColor rgb="FFF1C1E7"/>
        </patternFill>
      </fill>
    </dxf>
    <dxf>
      <fill>
        <patternFill>
          <bgColor rgb="FFF1C1E7"/>
        </patternFill>
      </fill>
    </dxf>
    <dxf>
      <fill>
        <patternFill patternType="solid">
          <bgColor rgb="FFF0C1E7"/>
        </patternFill>
      </fill>
    </dxf>
    <dxf>
      <fill>
        <patternFill patternType="solid">
          <bgColor rgb="FFF0C1E7"/>
        </patternFill>
      </fill>
    </dxf>
    <dxf>
      <fill>
        <patternFill patternType="solid">
          <bgColor rgb="FFF0C1E7"/>
        </patternFill>
      </fill>
    </dxf>
    <dxf>
      <fill>
        <patternFill patternType="solid">
          <bgColor rgb="FFF0C1E7"/>
        </patternFill>
      </fill>
    </dxf>
    <dxf>
      <fill>
        <patternFill patternType="solid">
          <bgColor rgb="FFF0C1E7"/>
        </patternFill>
      </fill>
    </dxf>
    <dxf>
      <border>
        <right/>
        <bottom/>
      </border>
    </dxf>
    <dxf>
      <border>
        <right/>
        <bottom/>
      </border>
    </dxf>
    <dxf>
      <fill>
        <patternFill patternType="solid">
          <fgColor indexed="64"/>
          <bgColor rgb="FFEDEDED"/>
        </patternFill>
      </fill>
    </dxf>
    <dxf>
      <border>
        <bottom style="hair">
          <color auto="1"/>
        </bottom>
      </border>
    </dxf>
    <dxf>
      <border>
        <bottom style="hair">
          <color auto="1"/>
        </bottom>
      </border>
    </dxf>
    <dxf>
      <border>
        <bottom style="hair">
          <color auto="1"/>
        </bottom>
      </border>
    </dxf>
    <dxf>
      <border>
        <bottom style="hair">
          <color auto="1"/>
        </bottom>
      </border>
    </dxf>
    <dxf>
      <border>
        <top style="thin">
          <color theme="1" tint="0.249977111117893"/>
        </top>
      </border>
    </dxf>
    <dxf>
      <font>
        <b val="0"/>
      </font>
    </dxf>
    <dxf>
      <border>
        <top style="hair">
          <color theme="1" tint="0.249977111117893"/>
        </top>
      </border>
    </dxf>
    <dxf>
      <border>
        <bottom style="hair">
          <color theme="1" tint="0.249977111117893"/>
        </bottom>
      </border>
    </dxf>
    <dxf>
      <border>
        <top style="hair">
          <color theme="1" tint="0.249977111117893"/>
        </top>
      </border>
    </dxf>
    <dxf>
      <border>
        <top style="hair">
          <color theme="1" tint="0.249977111117893"/>
        </top>
      </border>
    </dxf>
    <dxf>
      <fill>
        <patternFill>
          <bgColor theme="0"/>
        </patternFill>
      </fill>
    </dxf>
    <dxf>
      <fill>
        <patternFill>
          <bgColor theme="0"/>
        </patternFill>
      </fill>
    </dxf>
    <dxf>
      <border>
        <bottom style="thin">
          <color theme="1" tint="0.24994659260841701"/>
        </bottom>
      </border>
    </dxf>
    <dxf>
      <border>
        <bottom style="thin">
          <color theme="1" tint="0.24994659260841701"/>
        </bottom>
      </border>
    </dxf>
    <dxf>
      <font>
        <color theme="1" tint="0.249977111117893"/>
      </font>
    </dxf>
    <dxf>
      <border>
        <bottom style="thin">
          <color indexed="64"/>
        </bottom>
      </border>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fill>
        <patternFill>
          <bgColor theme="0"/>
        </patternFill>
      </fill>
    </dxf>
    <dxf>
      <fill>
        <patternFill>
          <bgColor theme="0"/>
        </patternFill>
      </fill>
    </dxf>
    <dxf>
      <alignment vertical="center"/>
    </dxf>
    <dxf>
      <font>
        <sz val="24"/>
      </font>
    </dxf>
    <dxf>
      <font>
        <sz val="24"/>
      </font>
    </dxf>
    <dxf>
      <fill>
        <patternFill patternType="solid">
          <bgColor rgb="FFEDEDED"/>
        </patternFill>
      </fill>
    </dxf>
    <dxf>
      <fill>
        <patternFill patternType="solid">
          <bgColor rgb="FFEDEDED"/>
        </patternFill>
      </fill>
    </dxf>
    <dxf>
      <fill>
        <patternFill>
          <bgColor rgb="FFEDEDED"/>
        </patternFill>
      </fill>
    </dxf>
    <dxf>
      <fill>
        <patternFill>
          <bgColor rgb="FFEDEDED"/>
        </patternFill>
      </fill>
    </dxf>
    <dxf>
      <fill>
        <patternFill>
          <bgColor rgb="FFEDEDED"/>
        </patternFill>
      </fill>
    </dxf>
    <dxf>
      <fill>
        <patternFill patternType="solid">
          <bgColor rgb="FFE3E3E3"/>
        </patternFill>
      </fill>
    </dxf>
    <dxf>
      <fill>
        <patternFill patternType="solid">
          <bgColor rgb="FFE3E3E3"/>
        </patternFill>
      </fill>
    </dxf>
    <dxf>
      <fill>
        <patternFill patternType="solid">
          <bgColor rgb="FFE3E3E3"/>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rgb="FFF9F9F9"/>
        </patternFill>
      </fill>
    </dxf>
    <dxf>
      <fill>
        <patternFill patternType="solid">
          <bgColor theme="5" tint="0.79998168889431442"/>
        </patternFill>
      </fill>
    </dxf>
    <dxf>
      <fill>
        <patternFill patternType="solid">
          <bgColor theme="9" tint="0.79998168889431442"/>
        </patternFill>
      </fill>
    </dxf>
    <dxf>
      <fill>
        <patternFill patternType="solid">
          <bgColor theme="8" tint="0.79998168889431442"/>
        </patternFill>
      </fill>
    </dxf>
    <dxf>
      <font>
        <b/>
      </font>
    </dxf>
    <dxf>
      <font>
        <b/>
      </font>
    </dxf>
    <dxf>
      <font>
        <b/>
      </font>
    </dxf>
    <dxf>
      <font>
        <b/>
      </font>
    </dxf>
    <dxf>
      <font>
        <b/>
      </font>
    </dxf>
    <dxf>
      <font>
        <b/>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
      <font>
        <name val="Avenir Next Condensed Regular"/>
        <scheme val="none"/>
      </font>
    </dxf>
  </dxfs>
  <tableStyles count="0" defaultTableStyle="TableStyleMedium2" defaultPivotStyle="PivotStyleLight16"/>
  <colors>
    <mruColors>
      <color rgb="FF404040"/>
      <color rgb="FFFFF2CC"/>
      <color rgb="FFF4EBFF"/>
      <color rgb="FFE6D9F7"/>
      <color rgb="FFE9C2F7"/>
      <color rgb="FFF8CBAD"/>
      <color rgb="FFC5E0B5"/>
      <color rgb="FFBED8EF"/>
      <color rgb="FFCEB0E5"/>
      <color rgb="FFEDB3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[clubs_earning_details.xlsx]pivot_tables!Club-payment</c:name>
    <c:fmtId val="6"/>
  </c:pivotSource>
  <c:chart>
    <c:title>
      <c:tx>
        <c:rich>
          <a:bodyPr rot="0" spcFirstLastPara="1" vertOverflow="ellipsis" vert="horz" wrap="square" anchor="ctr" anchorCtr="1"/>
          <a:lstStyle/>
          <a:p>
            <a:pPr>
              <a:defRPr sz="1400" b="0" i="0" u="none" strike="noStrike" kern="1200" spc="0" baseline="0">
                <a:solidFill>
                  <a:srgbClr val="404040"/>
                </a:solidFill>
                <a:latin typeface="+mn-lt"/>
                <a:ea typeface="+mn-ea"/>
                <a:cs typeface="+mn-cs"/>
              </a:defRPr>
            </a:pPr>
            <a:r>
              <a:rPr lang="en-GB" sz="2400" b="1">
                <a:solidFill>
                  <a:srgbClr val="404040"/>
                </a:solidFill>
                <a:latin typeface="Avenir Next Condensed" panose="020B0506020202020204" pitchFamily="34" charset="0"/>
              </a:rPr>
              <a:t>PAYMENT PER CLUB</a:t>
            </a:r>
          </a:p>
        </c:rich>
      </c:tx>
      <c:layout>
        <c:manualLayout>
          <c:xMode val="edge"/>
          <c:yMode val="edge"/>
          <c:x val="1.1124185973427379E-2"/>
          <c:y val="2.306645080579880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40404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lumMod val="60000"/>
              <a:lumOff val="40000"/>
            </a:schemeClr>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lumMod val="60000"/>
              <a:lumOff val="40000"/>
            </a:schemeClr>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6">
              <a:lumMod val="40000"/>
              <a:lumOff val="60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2">
              <a:lumMod val="40000"/>
              <a:lumOff val="60000"/>
            </a:schemeClr>
          </a:solidFill>
          <a:ln>
            <a:noFill/>
          </a:ln>
          <a:effectLst/>
        </c:spPr>
        <c:marker>
          <c:spPr>
            <a:solidFill>
              <a:schemeClr val="accent1"/>
            </a:solidFill>
            <a:ln w="9525">
              <a:solidFill>
                <a:schemeClr val="accent1"/>
              </a:solidFill>
            </a:ln>
            <a:effectLst/>
          </c:spPr>
        </c:marker>
        <c:dLbl>
          <c:idx val="0"/>
          <c:numFmt formatCode="#.##0##&quot; €&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lumMod val="40000"/>
              <a:lumOff val="60000"/>
            </a:schemeClr>
          </a:solidFill>
          <a:ln w="0">
            <a:solidFill>
              <a:schemeClr val="bg1">
                <a:alpha val="0"/>
              </a:schemeClr>
            </a:solidFill>
          </a:ln>
          <a:effectLst>
            <a:glow>
              <a:schemeClr val="bg1"/>
            </a:glow>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venir Next Condensed" panose="020B0506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rgbClr val="F0C1E7"/>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dLbl>
          <c:idx val="0"/>
          <c:numFmt formatCode="#.##0##&quot; €&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dLbl>
          <c:idx val="0"/>
          <c:numFmt formatCode="#.##0##&quot; €&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venir Next Condensed" panose="020B0506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C5E0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E6D9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18155566375101E-2"/>
          <c:y val="0.14094414600044153"/>
          <c:w val="0.91863178104575161"/>
          <c:h val="0.71192711016263155"/>
        </c:manualLayout>
      </c:layout>
      <c:barChart>
        <c:barDir val="col"/>
        <c:grouping val="stacked"/>
        <c:varyColors val="0"/>
        <c:ser>
          <c:idx val="0"/>
          <c:order val="0"/>
          <c:tx>
            <c:strRef>
              <c:f>pivot_tables!$B$4:$B$5</c:f>
              <c:strCache>
                <c:ptCount val="1"/>
                <c:pt idx="0">
                  <c:v>Blue Warriors</c:v>
                </c:pt>
              </c:strCache>
            </c:strRef>
          </c:tx>
          <c:spPr>
            <a:solidFill>
              <a:schemeClr val="accent5">
                <a:lumMod val="40000"/>
                <a:lumOff val="60000"/>
              </a:schemeClr>
            </a:solidFill>
            <a:ln>
              <a:noFill/>
            </a:ln>
            <a:effectLst/>
          </c:spPr>
          <c:invertIfNegative val="0"/>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0-8941-A342-A092-0722C0B37225}"/>
              </c:ext>
            </c:extLst>
          </c:dPt>
          <c:dLbls>
            <c:dLbl>
              <c:idx val="5"/>
              <c:delete val="1"/>
              <c:extLst>
                <c:ext xmlns:c15="http://schemas.microsoft.com/office/drawing/2012/chart" uri="{CE6537A1-D6FC-4f65-9D91-7224C49458BB}"/>
                <c:ext xmlns:c16="http://schemas.microsoft.com/office/drawing/2014/chart" uri="{C3380CC4-5D6E-409C-BE32-E72D297353CC}">
                  <c16:uniqueId val="{00000000-8941-A342-A092-0722C0B372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pivot_tables!$A$6:$A$17</c:f>
              <c:multiLvlStrCache>
                <c:ptCount val="9"/>
                <c:lvl>
                  <c:pt idx="0">
                    <c:v>August</c:v>
                  </c:pt>
                  <c:pt idx="1">
                    <c:v>September</c:v>
                  </c:pt>
                  <c:pt idx="2">
                    <c:v>October</c:v>
                  </c:pt>
                  <c:pt idx="3">
                    <c:v>November</c:v>
                  </c:pt>
                  <c:pt idx="4">
                    <c:v>December</c:v>
                  </c:pt>
                  <c:pt idx="5">
                    <c:v>January</c:v>
                  </c:pt>
                  <c:pt idx="6">
                    <c:v>February</c:v>
                  </c:pt>
                  <c:pt idx="7">
                    <c:v>March</c:v>
                  </c:pt>
                  <c:pt idx="8">
                    <c:v>April</c:v>
                  </c:pt>
                </c:lvl>
                <c:lvl>
                  <c:pt idx="0">
                    <c:v>2025</c:v>
                  </c:pt>
                  <c:pt idx="5">
                    <c:v>2026</c:v>
                  </c:pt>
                </c:lvl>
              </c:multiLvlStrCache>
            </c:multiLvlStrRef>
          </c:cat>
          <c:val>
            <c:numRef>
              <c:f>pivot_tables!$B$6:$B$17</c:f>
              <c:numCache>
                <c:formatCode>#,##0.00\ [$€-80C]</c:formatCode>
                <c:ptCount val="9"/>
                <c:pt idx="0">
                  <c:v>90</c:v>
                </c:pt>
                <c:pt idx="1">
                  <c:v>1252.5</c:v>
                </c:pt>
                <c:pt idx="2">
                  <c:v>1087.5</c:v>
                </c:pt>
                <c:pt idx="3">
                  <c:v>915</c:v>
                </c:pt>
                <c:pt idx="4">
                  <c:v>240</c:v>
                </c:pt>
                <c:pt idx="5">
                  <c:v>0</c:v>
                </c:pt>
                <c:pt idx="6">
                  <c:v>165</c:v>
                </c:pt>
                <c:pt idx="7">
                  <c:v>937.5</c:v>
                </c:pt>
                <c:pt idx="8">
                  <c:v>645</c:v>
                </c:pt>
              </c:numCache>
            </c:numRef>
          </c:val>
          <c:extLst>
            <c:ext xmlns:c16="http://schemas.microsoft.com/office/drawing/2014/chart" uri="{C3380CC4-5D6E-409C-BE32-E72D297353CC}">
              <c16:uniqueId val="{00000017-220B-5B48-BFD6-7F26CBD213FE}"/>
            </c:ext>
          </c:extLst>
        </c:ser>
        <c:ser>
          <c:idx val="1"/>
          <c:order val="1"/>
          <c:tx>
            <c:strRef>
              <c:f>pivot_tables!$C$4:$C$5</c:f>
              <c:strCache>
                <c:ptCount val="1"/>
                <c:pt idx="0">
                  <c:v>Emerald Demons</c:v>
                </c:pt>
              </c:strCache>
            </c:strRef>
          </c:tx>
          <c:spPr>
            <a:solidFill>
              <a:srgbClr val="C5E0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pivot_tables!$A$6:$A$17</c:f>
              <c:multiLvlStrCache>
                <c:ptCount val="9"/>
                <c:lvl>
                  <c:pt idx="0">
                    <c:v>August</c:v>
                  </c:pt>
                  <c:pt idx="1">
                    <c:v>September</c:v>
                  </c:pt>
                  <c:pt idx="2">
                    <c:v>October</c:v>
                  </c:pt>
                  <c:pt idx="3">
                    <c:v>November</c:v>
                  </c:pt>
                  <c:pt idx="4">
                    <c:v>December</c:v>
                  </c:pt>
                  <c:pt idx="5">
                    <c:v>January</c:v>
                  </c:pt>
                  <c:pt idx="6">
                    <c:v>February</c:v>
                  </c:pt>
                  <c:pt idx="7">
                    <c:v>March</c:v>
                  </c:pt>
                  <c:pt idx="8">
                    <c:v>April</c:v>
                  </c:pt>
                </c:lvl>
                <c:lvl>
                  <c:pt idx="0">
                    <c:v>2025</c:v>
                  </c:pt>
                  <c:pt idx="5">
                    <c:v>2026</c:v>
                  </c:pt>
                </c:lvl>
              </c:multiLvlStrCache>
            </c:multiLvlStrRef>
          </c:cat>
          <c:val>
            <c:numRef>
              <c:f>pivot_tables!$C$6:$C$17</c:f>
              <c:numCache>
                <c:formatCode>#,##0.00\ [$€-80C]</c:formatCode>
                <c:ptCount val="9"/>
                <c:pt idx="0">
                  <c:v>1000</c:v>
                </c:pt>
                <c:pt idx="1">
                  <c:v>1542.5</c:v>
                </c:pt>
                <c:pt idx="2">
                  <c:v>1367.5</c:v>
                </c:pt>
                <c:pt idx="3">
                  <c:v>1521.5</c:v>
                </c:pt>
                <c:pt idx="4">
                  <c:v>1070</c:v>
                </c:pt>
                <c:pt idx="5">
                  <c:v>1000</c:v>
                </c:pt>
                <c:pt idx="6">
                  <c:v>1052.5</c:v>
                </c:pt>
                <c:pt idx="7">
                  <c:v>1437.5</c:v>
                </c:pt>
                <c:pt idx="8">
                  <c:v>1175</c:v>
                </c:pt>
              </c:numCache>
            </c:numRef>
          </c:val>
          <c:extLst>
            <c:ext xmlns:c16="http://schemas.microsoft.com/office/drawing/2014/chart" uri="{C3380CC4-5D6E-409C-BE32-E72D297353CC}">
              <c16:uniqueId val="{0000001B-220B-5B48-BFD6-7F26CBD213FE}"/>
            </c:ext>
          </c:extLst>
        </c:ser>
        <c:ser>
          <c:idx val="2"/>
          <c:order val="2"/>
          <c:tx>
            <c:strRef>
              <c:f>pivot_tables!$D$4:$D$5</c:f>
              <c:strCache>
                <c:ptCount val="1"/>
                <c:pt idx="0">
                  <c:v>Orange Titans</c:v>
                </c:pt>
              </c:strCache>
            </c:strRef>
          </c:tx>
          <c:spPr>
            <a:solidFill>
              <a:schemeClr val="accent2">
                <a:lumMod val="40000"/>
                <a:lumOff val="60000"/>
              </a:schemeClr>
            </a:solidFill>
            <a:ln>
              <a:noFill/>
            </a:ln>
            <a:effectLst/>
          </c:spPr>
          <c:invertIfNegative val="0"/>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8941-A342-A092-0722C0B37225}"/>
              </c:ext>
            </c:extLst>
          </c:dPt>
          <c:dPt>
            <c:idx val="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8941-A342-A092-0722C0B37225}"/>
              </c:ext>
            </c:extLst>
          </c:dPt>
          <c:dLbls>
            <c:dLbl>
              <c:idx val="4"/>
              <c:delete val="1"/>
              <c:extLst>
                <c:ext xmlns:c15="http://schemas.microsoft.com/office/drawing/2012/chart" uri="{CE6537A1-D6FC-4f65-9D91-7224C49458BB}"/>
                <c:ext xmlns:c16="http://schemas.microsoft.com/office/drawing/2014/chart" uri="{C3380CC4-5D6E-409C-BE32-E72D297353CC}">
                  <c16:uniqueId val="{00000001-8941-A342-A092-0722C0B37225}"/>
                </c:ext>
              </c:extLst>
            </c:dLbl>
            <c:dLbl>
              <c:idx val="5"/>
              <c:delete val="1"/>
              <c:extLst>
                <c:ext xmlns:c15="http://schemas.microsoft.com/office/drawing/2012/chart" uri="{CE6537A1-D6FC-4f65-9D91-7224C49458BB}"/>
                <c:ext xmlns:c16="http://schemas.microsoft.com/office/drawing/2014/chart" uri="{C3380CC4-5D6E-409C-BE32-E72D297353CC}">
                  <c16:uniqueId val="{00000002-8941-A342-A092-0722C0B372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pivot_tables!$A$6:$A$17</c:f>
              <c:multiLvlStrCache>
                <c:ptCount val="9"/>
                <c:lvl>
                  <c:pt idx="0">
                    <c:v>August</c:v>
                  </c:pt>
                  <c:pt idx="1">
                    <c:v>September</c:v>
                  </c:pt>
                  <c:pt idx="2">
                    <c:v>October</c:v>
                  </c:pt>
                  <c:pt idx="3">
                    <c:v>November</c:v>
                  </c:pt>
                  <c:pt idx="4">
                    <c:v>December</c:v>
                  </c:pt>
                  <c:pt idx="5">
                    <c:v>January</c:v>
                  </c:pt>
                  <c:pt idx="6">
                    <c:v>February</c:v>
                  </c:pt>
                  <c:pt idx="7">
                    <c:v>March</c:v>
                  </c:pt>
                  <c:pt idx="8">
                    <c:v>April</c:v>
                  </c:pt>
                </c:lvl>
                <c:lvl>
                  <c:pt idx="0">
                    <c:v>2025</c:v>
                  </c:pt>
                  <c:pt idx="5">
                    <c:v>2026</c:v>
                  </c:pt>
                </c:lvl>
              </c:multiLvlStrCache>
            </c:multiLvlStrRef>
          </c:cat>
          <c:val>
            <c:numRef>
              <c:f>pivot_tables!$D$6:$D$17</c:f>
              <c:numCache>
                <c:formatCode>#,##0.00\ [$€-80C]</c:formatCode>
                <c:ptCount val="9"/>
                <c:pt idx="0">
                  <c:v>540</c:v>
                </c:pt>
                <c:pt idx="1">
                  <c:v>840</c:v>
                </c:pt>
                <c:pt idx="2">
                  <c:v>360</c:v>
                </c:pt>
                <c:pt idx="3">
                  <c:v>420</c:v>
                </c:pt>
                <c:pt idx="4">
                  <c:v>0</c:v>
                </c:pt>
                <c:pt idx="5">
                  <c:v>0</c:v>
                </c:pt>
                <c:pt idx="6">
                  <c:v>360</c:v>
                </c:pt>
                <c:pt idx="7">
                  <c:v>840</c:v>
                </c:pt>
              </c:numCache>
            </c:numRef>
          </c:val>
          <c:extLst>
            <c:ext xmlns:c16="http://schemas.microsoft.com/office/drawing/2014/chart" uri="{C3380CC4-5D6E-409C-BE32-E72D297353CC}">
              <c16:uniqueId val="{0000001C-220B-5B48-BFD6-7F26CBD213FE}"/>
            </c:ext>
          </c:extLst>
        </c:ser>
        <c:ser>
          <c:idx val="3"/>
          <c:order val="3"/>
          <c:tx>
            <c:strRef>
              <c:f>pivot_tables!$E$4:$E$5</c:f>
              <c:strCache>
                <c:ptCount val="1"/>
                <c:pt idx="0">
                  <c:v>PHX Hockey</c:v>
                </c:pt>
              </c:strCache>
            </c:strRef>
          </c:tx>
          <c:spPr>
            <a:solidFill>
              <a:srgbClr val="E6D9F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pivot_tables!$A$6:$A$17</c:f>
              <c:multiLvlStrCache>
                <c:ptCount val="9"/>
                <c:lvl>
                  <c:pt idx="0">
                    <c:v>August</c:v>
                  </c:pt>
                  <c:pt idx="1">
                    <c:v>September</c:v>
                  </c:pt>
                  <c:pt idx="2">
                    <c:v>October</c:v>
                  </c:pt>
                  <c:pt idx="3">
                    <c:v>November</c:v>
                  </c:pt>
                  <c:pt idx="4">
                    <c:v>December</c:v>
                  </c:pt>
                  <c:pt idx="5">
                    <c:v>January</c:v>
                  </c:pt>
                  <c:pt idx="6">
                    <c:v>February</c:v>
                  </c:pt>
                  <c:pt idx="7">
                    <c:v>March</c:v>
                  </c:pt>
                  <c:pt idx="8">
                    <c:v>April</c:v>
                  </c:pt>
                </c:lvl>
                <c:lvl>
                  <c:pt idx="0">
                    <c:v>2025</c:v>
                  </c:pt>
                  <c:pt idx="5">
                    <c:v>2026</c:v>
                  </c:pt>
                </c:lvl>
              </c:multiLvlStrCache>
            </c:multiLvlStrRef>
          </c:cat>
          <c:val>
            <c:numRef>
              <c:f>pivot_tables!$E$6:$E$17</c:f>
              <c:numCache>
                <c:formatCode>#,##0.00\ [$€-80C]</c:formatCode>
                <c:ptCount val="9"/>
                <c:pt idx="8">
                  <c:v>1625</c:v>
                </c:pt>
              </c:numCache>
            </c:numRef>
          </c:val>
          <c:extLst>
            <c:ext xmlns:c16="http://schemas.microsoft.com/office/drawing/2014/chart" uri="{C3380CC4-5D6E-409C-BE32-E72D297353CC}">
              <c16:uniqueId val="{0000001D-220B-5B48-BFD6-7F26CBD213FE}"/>
            </c:ext>
          </c:extLst>
        </c:ser>
        <c:dLbls>
          <c:showLegendKey val="0"/>
          <c:showVal val="0"/>
          <c:showCatName val="0"/>
          <c:showSerName val="0"/>
          <c:showPercent val="0"/>
          <c:showBubbleSize val="0"/>
        </c:dLbls>
        <c:gapWidth val="91"/>
        <c:overlap val="100"/>
        <c:axId val="1672390704"/>
        <c:axId val="75041312"/>
      </c:barChart>
      <c:catAx>
        <c:axId val="167239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alpha val="85000"/>
              </a:schemeClr>
            </a:solidFill>
            <a:prstDash val="sysDot"/>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venir Next Condensed" panose="020B0506020202020204" pitchFamily="34" charset="0"/>
                <a:ea typeface="+mn-ea"/>
                <a:cs typeface="+mn-cs"/>
              </a:defRPr>
            </a:pPr>
            <a:endParaRPr lang="en-US"/>
          </a:p>
        </c:txPr>
        <c:crossAx val="75041312"/>
        <c:crosses val="autoZero"/>
        <c:auto val="1"/>
        <c:lblAlgn val="ctr"/>
        <c:lblOffset val="100"/>
        <c:noMultiLvlLbl val="0"/>
      </c:catAx>
      <c:valAx>
        <c:axId val="75041312"/>
        <c:scaling>
          <c:orientation val="minMax"/>
          <c:max val="4000"/>
          <c:min val="0"/>
        </c:scaling>
        <c:delete val="0"/>
        <c:axPos val="l"/>
        <c:majorGridlines>
          <c:spPr>
            <a:ln w="9525" cap="flat" cmpd="sng" algn="ctr">
              <a:solidFill>
                <a:schemeClr val="tx1">
                  <a:lumMod val="15000"/>
                  <a:lumOff val="85000"/>
                  <a:alpha val="49000"/>
                </a:schemeClr>
              </a:solidFill>
              <a:prstDash val="sysDot"/>
              <a:round/>
            </a:ln>
            <a:effectLst/>
          </c:spPr>
        </c:majorGridlines>
        <c:numFmt formatCode="#,##0.00\ [$€-80C]" sourceLinked="1"/>
        <c:majorTickMark val="none"/>
        <c:minorTickMark val="none"/>
        <c:tickLblPos val="nextTo"/>
        <c:spPr>
          <a:noFill/>
          <a:ln>
            <a:solidFill>
              <a:schemeClr val="tx1">
                <a:lumMod val="15000"/>
                <a:lumOff val="85000"/>
              </a:schemeClr>
            </a:solidFill>
            <a:prstDash val="sysDot"/>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venir Next Condensed" panose="020B0506020202020204" pitchFamily="34" charset="0"/>
                <a:ea typeface="+mn-ea"/>
                <a:cs typeface="+mn-cs"/>
              </a:defRPr>
            </a:pPr>
            <a:endParaRPr lang="en-US"/>
          </a:p>
        </c:txPr>
        <c:crossAx val="1672390704"/>
        <c:crosses val="autoZero"/>
        <c:crossBetween val="between"/>
      </c:valAx>
      <c:spPr>
        <a:noFill/>
        <a:ln>
          <a:noFill/>
          <a:prstDash val="sysDot"/>
        </a:ln>
        <a:effectLst/>
      </c:spPr>
    </c:plotArea>
    <c:legend>
      <c:legendPos val="b"/>
      <c:layout>
        <c:manualLayout>
          <c:xMode val="edge"/>
          <c:yMode val="edge"/>
          <c:x val="0.55263020060408197"/>
          <c:y val="1.1357899771874305E-2"/>
          <c:w val="0.44736987625581204"/>
          <c:h val="6.6582742874788811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venir Next Condense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noFill/>
      <a:round/>
    </a:ln>
    <a:effectLst>
      <a:softEdge rad="0"/>
    </a:effectLst>
    <a:scene3d>
      <a:camera prst="orthographicFront"/>
      <a:lightRig rig="threePt" dir="t"/>
    </a:scene3d>
    <a:sp3d prstMaterial="powder"/>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[clubs_earning_details.xlsx]pivot_tables!Expected-Paid-Remain-Total</c:name>
    <c:fmtId val="4"/>
  </c:pivotSource>
  <c:chart>
    <c:title>
      <c:tx>
        <c:rich>
          <a:bodyPr rot="0" spcFirstLastPara="1" vertOverflow="ellipsis" vert="horz" wrap="square" anchor="ctr" anchorCtr="1"/>
          <a:lstStyle/>
          <a:p>
            <a:pPr>
              <a:defRPr sz="2400" b="1" i="0" u="none" strike="noStrike" kern="1200" baseline="0">
                <a:solidFill>
                  <a:schemeClr val="tx2"/>
                </a:solidFill>
                <a:latin typeface="+mn-lt"/>
                <a:ea typeface="+mn-ea"/>
                <a:cs typeface="+mn-cs"/>
              </a:defRPr>
            </a:pPr>
            <a:r>
              <a:rPr lang="en-GB" sz="2400" b="1">
                <a:solidFill>
                  <a:srgbClr val="404040"/>
                </a:solidFill>
                <a:latin typeface="Avenir Next Condensed" panose="020B0506020202020204" pitchFamily="34" charset="0"/>
              </a:rPr>
              <a:t>INCOME</a:t>
            </a:r>
            <a:r>
              <a:rPr lang="en-GB" sz="2400" b="1" baseline="0">
                <a:solidFill>
                  <a:srgbClr val="404040"/>
                </a:solidFill>
                <a:latin typeface="Avenir Next Condensed" panose="020B0506020202020204" pitchFamily="34" charset="0"/>
              </a:rPr>
              <a:t> BY CLUB</a:t>
            </a:r>
          </a:p>
        </c:rich>
      </c:tx>
      <c:layout>
        <c:manualLayout>
          <c:xMode val="edge"/>
          <c:yMode val="edge"/>
          <c:x val="4.3048755725018636E-2"/>
          <c:y val="3.8621810074945452E-2"/>
        </c:manualLayout>
      </c:layout>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dLbl>
          <c:idx val="0"/>
          <c:layout>
            <c:manualLayout>
              <c:x val="-0.26288659793814434"/>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F21F40FD-2E0F-1D4C-8712-2569217E257E}" type="CATEGORYNAME">
                  <a:rPr lang="en-US" sz="1000"/>
                  <a:pPr>
                    <a:defRPr sz="1100" b="1" i="0" u="none" strike="noStrike" kern="1200" baseline="0">
                      <a:solidFill>
                        <a:schemeClr val="tx2"/>
                      </a:solidFill>
                      <a:latin typeface="+mn-lt"/>
                      <a:ea typeface="+mn-ea"/>
                      <a:cs typeface="+mn-cs"/>
                    </a:defRPr>
                  </a:pPr>
                  <a:t>[CATEGORY NAME]</a:t>
                </a:fld>
                <a:r>
                  <a:rPr lang="en-US" sz="1000"/>
                  <a:t> </a:t>
                </a:r>
              </a:p>
              <a:p>
                <a:pPr>
                  <a:defRPr sz="1100" b="1" i="0" u="none" strike="noStrike" kern="1200" baseline="0">
                    <a:solidFill>
                      <a:schemeClr val="tx2"/>
                    </a:solidFill>
                    <a:latin typeface="+mn-lt"/>
                    <a:ea typeface="+mn-ea"/>
                    <a:cs typeface="+mn-cs"/>
                  </a:defRPr>
                </a:pPr>
                <a:fld id="{ABB7AF73-C62C-8D4C-BB82-281EBF72BD26}" type="VALUE">
                  <a:rPr lang="en-US" sz="1000"/>
                  <a:pPr>
                    <a:defRPr sz="1100" b="1" i="0" u="none" strike="noStrike" kern="1200" baseline="0">
                      <a:solidFill>
                        <a:schemeClr val="tx2"/>
                      </a:solidFill>
                      <a:latin typeface="+mn-lt"/>
                      <a:ea typeface="+mn-ea"/>
                      <a:cs typeface="+mn-cs"/>
                    </a:defRPr>
                  </a:pPr>
                  <a:t>[VALUE]</a:t>
                </a:fld>
                <a:endParaRPr lang="en-US" sz="1000"/>
              </a:p>
              <a:p>
                <a:pPr>
                  <a:defRPr sz="1100" b="1" i="0" u="none" strike="noStrike" kern="1200" baseline="0">
                    <a:solidFill>
                      <a:schemeClr val="tx2"/>
                    </a:solidFill>
                    <a:latin typeface="+mn-lt"/>
                    <a:ea typeface="+mn-ea"/>
                    <a:cs typeface="+mn-cs"/>
                  </a:defRPr>
                </a:pPr>
                <a:r>
                  <a:rPr lang="en-US" sz="1000"/>
                  <a:t> </a:t>
                </a:r>
                <a:fld id="{BC69E829-C4A0-6546-A6B2-7C7CF09FA7DE}" type="PERCENTAGE">
                  <a:rPr lang="en-US" sz="1000"/>
                  <a:pPr>
                    <a:defRPr sz="1100" b="1" i="0" u="none" strike="noStrike" kern="1200" baseline="0">
                      <a:solidFill>
                        <a:schemeClr val="tx2"/>
                      </a:solidFill>
                      <a:latin typeface="+mn-lt"/>
                      <a:ea typeface="+mn-ea"/>
                      <a:cs typeface="+mn-cs"/>
                    </a:defRPr>
                  </a:pPr>
                  <a:t>[PERCENTAGE]</a:t>
                </a:fld>
                <a:endParaRPr lang="en-US" sz="100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lumMod val="40000"/>
              <a:lumOff val="60000"/>
            </a:schemeClr>
          </a:solidFill>
          <a:ln>
            <a:noFill/>
          </a:ln>
          <a:effectLst/>
        </c:spPr>
        <c:dLbl>
          <c:idx val="0"/>
          <c:layout>
            <c:manualLayout>
              <c:x val="0.23367697594501718"/>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DBB79BC2-AB66-A642-9931-DC87C4E9F5BF}" type="CATEGORYNAME">
                  <a:rPr lang="en-US" sz="1000"/>
                  <a:pPr>
                    <a:defRPr sz="1100" b="1" i="0" u="none" strike="noStrike" kern="1200" baseline="0">
                      <a:solidFill>
                        <a:schemeClr val="tx2"/>
                      </a:solidFill>
                      <a:latin typeface="+mn-lt"/>
                      <a:ea typeface="+mn-ea"/>
                      <a:cs typeface="+mn-cs"/>
                    </a:defRPr>
                  </a:pPr>
                  <a:t>[CATEGORY NAME]</a:t>
                </a:fld>
                <a:endParaRPr lang="en-US" sz="1000"/>
              </a:p>
              <a:p>
                <a:pPr>
                  <a:defRPr sz="1100" b="1" i="0" u="none" strike="noStrike" kern="1200" baseline="0">
                    <a:solidFill>
                      <a:schemeClr val="tx2"/>
                    </a:solidFill>
                    <a:latin typeface="+mn-lt"/>
                    <a:ea typeface="+mn-ea"/>
                    <a:cs typeface="+mn-cs"/>
                  </a:defRPr>
                </a:pPr>
                <a:r>
                  <a:rPr lang="en-US" sz="1000"/>
                  <a:t> </a:t>
                </a:r>
                <a:fld id="{D21665C9-8161-3948-8C63-86F1377E31C1}" type="VALUE">
                  <a:rPr lang="en-US" sz="1000"/>
                  <a:pPr>
                    <a:defRPr sz="1100" b="1" i="0" u="none" strike="noStrike" kern="1200" baseline="0">
                      <a:solidFill>
                        <a:schemeClr val="tx2"/>
                      </a:solidFill>
                      <a:latin typeface="+mn-lt"/>
                      <a:ea typeface="+mn-ea"/>
                      <a:cs typeface="+mn-cs"/>
                    </a:defRPr>
                  </a:pPr>
                  <a:t>[VALUE]</a:t>
                </a:fld>
                <a:r>
                  <a:rPr lang="en-US" sz="1000"/>
                  <a:t> </a:t>
                </a:r>
              </a:p>
              <a:p>
                <a:pPr>
                  <a:defRPr sz="1100" b="1" i="0" u="none" strike="noStrike" kern="1200" baseline="0">
                    <a:solidFill>
                      <a:schemeClr val="tx2"/>
                    </a:solidFill>
                    <a:latin typeface="+mn-lt"/>
                    <a:ea typeface="+mn-ea"/>
                    <a:cs typeface="+mn-cs"/>
                  </a:defRPr>
                </a:pPr>
                <a:fld id="{100FFC63-E70F-3B4D-AC2B-4553B816318D}" type="PERCENTAGE">
                  <a:rPr lang="en-US" sz="1000"/>
                  <a:pPr>
                    <a:defRPr sz="1100" b="1" i="0" u="none" strike="noStrike" kern="1200" baseline="0">
                      <a:solidFill>
                        <a:schemeClr val="tx2"/>
                      </a:solidFill>
                      <a:latin typeface="+mn-lt"/>
                      <a:ea typeface="+mn-ea"/>
                      <a:cs typeface="+mn-cs"/>
                    </a:defRPr>
                  </a:pPr>
                  <a:t>[PERCENTAGE]</a:t>
                </a:fld>
                <a:endParaRPr lang="en-GB"/>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lumMod val="40000"/>
              <a:lumOff val="60000"/>
            </a:schemeClr>
          </a:solidFill>
          <a:ln>
            <a:noFill/>
          </a:ln>
          <a:effectLst/>
        </c:spPr>
        <c:dLbl>
          <c:idx val="0"/>
          <c:layout>
            <c:manualLayout>
              <c:x val="-0.23024054982817868"/>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33A79CF0-C3AC-0644-9D5F-5EDE2F2B9214}" type="CATEGORYNAME">
                  <a:rPr lang="en-US" sz="1000"/>
                  <a:pPr>
                    <a:defRPr sz="1100" b="1" i="0" u="none" strike="noStrike" kern="1200" baseline="0">
                      <a:solidFill>
                        <a:schemeClr val="tx2"/>
                      </a:solidFill>
                      <a:latin typeface="+mn-lt"/>
                      <a:ea typeface="+mn-ea"/>
                      <a:cs typeface="+mn-cs"/>
                    </a:defRPr>
                  </a:pPr>
                  <a:t>[CATEGORY NAME]</a:t>
                </a:fld>
                <a:endParaRPr lang="en-US" sz="1000"/>
              </a:p>
              <a:p>
                <a:pPr>
                  <a:defRPr sz="1100" b="1" i="0" u="none" strike="noStrike" kern="1200" baseline="0">
                    <a:solidFill>
                      <a:schemeClr val="tx2"/>
                    </a:solidFill>
                    <a:latin typeface="+mn-lt"/>
                    <a:ea typeface="+mn-ea"/>
                    <a:cs typeface="+mn-cs"/>
                  </a:defRPr>
                </a:pPr>
                <a:fld id="{3BD65459-2D04-584A-9ECC-E2FED5E2C635}" type="VALUE">
                  <a:rPr lang="en-US" sz="1000"/>
                  <a:pPr>
                    <a:defRPr sz="1100" b="1" i="0" u="none" strike="noStrike" kern="1200" baseline="0">
                      <a:solidFill>
                        <a:schemeClr val="tx2"/>
                      </a:solidFill>
                      <a:latin typeface="+mn-lt"/>
                      <a:ea typeface="+mn-ea"/>
                      <a:cs typeface="+mn-cs"/>
                    </a:defRPr>
                  </a:pPr>
                  <a:t>[VALUE]</a:t>
                </a:fld>
                <a:endParaRPr lang="en-US" sz="1000"/>
              </a:p>
              <a:p>
                <a:pPr>
                  <a:defRPr sz="1100" b="1" i="0" u="none" strike="noStrike" kern="1200" baseline="0">
                    <a:solidFill>
                      <a:schemeClr val="tx2"/>
                    </a:solidFill>
                    <a:latin typeface="+mn-lt"/>
                    <a:ea typeface="+mn-ea"/>
                    <a:cs typeface="+mn-cs"/>
                  </a:defRPr>
                </a:pPr>
                <a:r>
                  <a:rPr lang="en-US" sz="1000"/>
                  <a:t> </a:t>
                </a:r>
                <a:fld id="{2D1F6D97-C66B-F941-A2F3-FFECD2000E59}" type="PERCENTAGE">
                  <a:rPr lang="en-US" sz="1000"/>
                  <a:pPr>
                    <a:defRPr sz="1100" b="1" i="0" u="none" strike="noStrike" kern="1200" baseline="0">
                      <a:solidFill>
                        <a:schemeClr val="tx2"/>
                      </a:solidFill>
                      <a:latin typeface="+mn-lt"/>
                      <a:ea typeface="+mn-ea"/>
                      <a:cs typeface="+mn-cs"/>
                    </a:defRPr>
                  </a:pPr>
                  <a:t>[PERCENTAGE]</a:t>
                </a:fld>
                <a:endParaRPr lang="en-US" sz="100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dLbl>
          <c:idx val="0"/>
          <c:layout>
            <c:manualLayout>
              <c:x val="0.23367697594501718"/>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DBB79BC2-AB66-A642-9931-DC87C4E9F5BF}" type="CATEGORYNAME">
                  <a:rPr lang="en-US" sz="1000"/>
                  <a:pPr>
                    <a:defRPr sz="1100" b="1" i="0" u="none" strike="noStrike" kern="1200" baseline="0">
                      <a:solidFill>
                        <a:schemeClr val="tx2"/>
                      </a:solidFill>
                      <a:latin typeface="+mn-lt"/>
                      <a:ea typeface="+mn-ea"/>
                      <a:cs typeface="+mn-cs"/>
                    </a:defRPr>
                  </a:pPr>
                  <a:t>[CATEGORY NAME]</a:t>
                </a:fld>
                <a:endParaRPr lang="en-US" sz="1000"/>
              </a:p>
              <a:p>
                <a:pPr>
                  <a:defRPr sz="1100" b="1" i="0" u="none" strike="noStrike" kern="1200" baseline="0">
                    <a:solidFill>
                      <a:schemeClr val="tx2"/>
                    </a:solidFill>
                    <a:latin typeface="+mn-lt"/>
                    <a:ea typeface="+mn-ea"/>
                    <a:cs typeface="+mn-cs"/>
                  </a:defRPr>
                </a:pPr>
                <a:r>
                  <a:rPr lang="en-US" sz="1000"/>
                  <a:t> </a:t>
                </a:r>
                <a:fld id="{D21665C9-8161-3948-8C63-86F1377E31C1}" type="VALUE">
                  <a:rPr lang="en-US" sz="1000"/>
                  <a:pPr>
                    <a:defRPr sz="1100" b="1" i="0" u="none" strike="noStrike" kern="1200" baseline="0">
                      <a:solidFill>
                        <a:schemeClr val="tx2"/>
                      </a:solidFill>
                      <a:latin typeface="+mn-lt"/>
                      <a:ea typeface="+mn-ea"/>
                      <a:cs typeface="+mn-cs"/>
                    </a:defRPr>
                  </a:pPr>
                  <a:t>[VALUE]</a:t>
                </a:fld>
                <a:r>
                  <a:rPr lang="en-US" sz="1000"/>
                  <a:t> </a:t>
                </a:r>
              </a:p>
              <a:p>
                <a:pPr>
                  <a:defRPr sz="1100" b="1" i="0" u="none" strike="noStrike" kern="1200" baseline="0">
                    <a:solidFill>
                      <a:schemeClr val="tx2"/>
                    </a:solidFill>
                    <a:latin typeface="+mn-lt"/>
                    <a:ea typeface="+mn-ea"/>
                    <a:cs typeface="+mn-cs"/>
                  </a:defRPr>
                </a:pPr>
                <a:fld id="{100FFC63-E70F-3B4D-AC2B-4553B816318D}" type="PERCENTAGE">
                  <a:rPr lang="en-US" sz="1000"/>
                  <a:pPr>
                    <a:defRPr sz="1100" b="1" i="0" u="none" strike="noStrike" kern="1200" baseline="0">
                      <a:solidFill>
                        <a:schemeClr val="tx2"/>
                      </a:solidFill>
                      <a:latin typeface="+mn-lt"/>
                      <a:ea typeface="+mn-ea"/>
                      <a:cs typeface="+mn-cs"/>
                    </a:defRPr>
                  </a:pPr>
                  <a:t>[PERCENTAGE]</a:t>
                </a:fld>
                <a:endParaRPr lang="en-GB"/>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lumMod val="40000"/>
              <a:lumOff val="60000"/>
            </a:schemeClr>
          </a:solidFill>
          <a:ln>
            <a:noFill/>
          </a:ln>
          <a:effectLst/>
        </c:spPr>
        <c:dLbl>
          <c:idx val="0"/>
          <c:layout>
            <c:manualLayout>
              <c:x val="-0.26288659793814434"/>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F21F40FD-2E0F-1D4C-8712-2569217E257E}" type="CATEGORYNAME">
                  <a:rPr lang="en-US" sz="1000"/>
                  <a:pPr>
                    <a:defRPr sz="1100" b="1" i="0" u="none" strike="noStrike" kern="1200" baseline="0">
                      <a:solidFill>
                        <a:schemeClr val="tx2"/>
                      </a:solidFill>
                      <a:latin typeface="+mn-lt"/>
                      <a:ea typeface="+mn-ea"/>
                      <a:cs typeface="+mn-cs"/>
                    </a:defRPr>
                  </a:pPr>
                  <a:t>[CATEGORY NAME]</a:t>
                </a:fld>
                <a:r>
                  <a:rPr lang="en-US" sz="1000"/>
                  <a:t> </a:t>
                </a:r>
              </a:p>
              <a:p>
                <a:pPr>
                  <a:defRPr sz="1100" b="1" i="0" u="none" strike="noStrike" kern="1200" baseline="0">
                    <a:solidFill>
                      <a:schemeClr val="tx2"/>
                    </a:solidFill>
                    <a:latin typeface="+mn-lt"/>
                    <a:ea typeface="+mn-ea"/>
                    <a:cs typeface="+mn-cs"/>
                  </a:defRPr>
                </a:pPr>
                <a:fld id="{ABB7AF73-C62C-8D4C-BB82-281EBF72BD26}" type="VALUE">
                  <a:rPr lang="en-US" sz="1000"/>
                  <a:pPr>
                    <a:defRPr sz="1100" b="1" i="0" u="none" strike="noStrike" kern="1200" baseline="0">
                      <a:solidFill>
                        <a:schemeClr val="tx2"/>
                      </a:solidFill>
                      <a:latin typeface="+mn-lt"/>
                      <a:ea typeface="+mn-ea"/>
                      <a:cs typeface="+mn-cs"/>
                    </a:defRPr>
                  </a:pPr>
                  <a:t>[VALUE]</a:t>
                </a:fld>
                <a:endParaRPr lang="en-US" sz="1000"/>
              </a:p>
              <a:p>
                <a:pPr>
                  <a:defRPr sz="1100" b="1" i="0" u="none" strike="noStrike" kern="1200" baseline="0">
                    <a:solidFill>
                      <a:schemeClr val="tx2"/>
                    </a:solidFill>
                    <a:latin typeface="+mn-lt"/>
                    <a:ea typeface="+mn-ea"/>
                    <a:cs typeface="+mn-cs"/>
                  </a:defRPr>
                </a:pPr>
                <a:r>
                  <a:rPr lang="en-US" sz="1000"/>
                  <a:t> </a:t>
                </a:r>
                <a:fld id="{BC69E829-C4A0-6546-A6B2-7C7CF09FA7DE}" type="PERCENTAGE">
                  <a:rPr lang="en-US" sz="1000"/>
                  <a:pPr>
                    <a:defRPr sz="1100" b="1" i="0" u="none" strike="noStrike" kern="1200" baseline="0">
                      <a:solidFill>
                        <a:schemeClr val="tx2"/>
                      </a:solidFill>
                      <a:latin typeface="+mn-lt"/>
                      <a:ea typeface="+mn-ea"/>
                      <a:cs typeface="+mn-cs"/>
                    </a:defRPr>
                  </a:pPr>
                  <a:t>[PERCENTAGE]</a:t>
                </a:fld>
                <a:endParaRPr lang="en-US" sz="100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2">
              <a:lumMod val="40000"/>
              <a:lumOff val="60000"/>
            </a:schemeClr>
          </a:solidFill>
          <a:ln>
            <a:noFill/>
          </a:ln>
          <a:effectLst/>
        </c:spPr>
        <c:dLbl>
          <c:idx val="0"/>
          <c:layout>
            <c:manualLayout>
              <c:x val="-0.23024054982817868"/>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33A79CF0-C3AC-0644-9D5F-5EDE2F2B9214}" type="CATEGORYNAME">
                  <a:rPr lang="en-US" sz="1000"/>
                  <a:pPr>
                    <a:defRPr sz="1100" b="1" i="0" u="none" strike="noStrike" kern="1200" baseline="0">
                      <a:solidFill>
                        <a:schemeClr val="tx2"/>
                      </a:solidFill>
                      <a:latin typeface="+mn-lt"/>
                      <a:ea typeface="+mn-ea"/>
                      <a:cs typeface="+mn-cs"/>
                    </a:defRPr>
                  </a:pPr>
                  <a:t>[CATEGORY NAME]</a:t>
                </a:fld>
                <a:endParaRPr lang="en-US" sz="1000"/>
              </a:p>
              <a:p>
                <a:pPr>
                  <a:defRPr sz="1100" b="1" i="0" u="none" strike="noStrike" kern="1200" baseline="0">
                    <a:solidFill>
                      <a:schemeClr val="tx2"/>
                    </a:solidFill>
                    <a:latin typeface="+mn-lt"/>
                    <a:ea typeface="+mn-ea"/>
                    <a:cs typeface="+mn-cs"/>
                  </a:defRPr>
                </a:pPr>
                <a:fld id="{3BD65459-2D04-584A-9ECC-E2FED5E2C635}" type="VALUE">
                  <a:rPr lang="en-US" sz="1000"/>
                  <a:pPr>
                    <a:defRPr sz="1100" b="1" i="0" u="none" strike="noStrike" kern="1200" baseline="0">
                      <a:solidFill>
                        <a:schemeClr val="tx2"/>
                      </a:solidFill>
                      <a:latin typeface="+mn-lt"/>
                      <a:ea typeface="+mn-ea"/>
                      <a:cs typeface="+mn-cs"/>
                    </a:defRPr>
                  </a:pPr>
                  <a:t>[VALUE]</a:t>
                </a:fld>
                <a:endParaRPr lang="en-US" sz="1000"/>
              </a:p>
              <a:p>
                <a:pPr>
                  <a:defRPr sz="1100" b="1" i="0" u="none" strike="noStrike" kern="1200" baseline="0">
                    <a:solidFill>
                      <a:schemeClr val="tx2"/>
                    </a:solidFill>
                    <a:latin typeface="+mn-lt"/>
                    <a:ea typeface="+mn-ea"/>
                    <a:cs typeface="+mn-cs"/>
                  </a:defRPr>
                </a:pPr>
                <a:r>
                  <a:rPr lang="en-US" sz="1000"/>
                  <a:t> </a:t>
                </a:r>
                <a:fld id="{2D1F6D97-C66B-F941-A2F3-FFECD2000E59}" type="PERCENTAGE">
                  <a:rPr lang="en-US" sz="1000"/>
                  <a:pPr>
                    <a:defRPr sz="1100" b="1" i="0" u="none" strike="noStrike" kern="1200" baseline="0">
                      <a:solidFill>
                        <a:schemeClr val="tx2"/>
                      </a:solidFill>
                      <a:latin typeface="+mn-lt"/>
                      <a:ea typeface="+mn-ea"/>
                      <a:cs typeface="+mn-cs"/>
                    </a:defRPr>
                  </a:pPr>
                  <a:t>[PERCENTAGE]</a:t>
                </a:fld>
                <a:endParaRPr lang="en-US" sz="100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dLbl>
          <c:idx val="0"/>
          <c:layout>
            <c:manualLayout>
              <c:x val="0.23367697594501718"/>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DBB79BC2-AB66-A642-9931-DC87C4E9F5BF}" type="CATEGORYNAME">
                  <a:rPr lang="en-US" sz="1000"/>
                  <a:pPr>
                    <a:defRPr sz="1100" b="1" i="0" u="none" strike="noStrike" kern="1200" baseline="0">
                      <a:solidFill>
                        <a:schemeClr val="tx2"/>
                      </a:solidFill>
                      <a:latin typeface="+mn-lt"/>
                      <a:ea typeface="+mn-ea"/>
                      <a:cs typeface="+mn-cs"/>
                    </a:defRPr>
                  </a:pPr>
                  <a:t>[CATEGORY NAME]</a:t>
                </a:fld>
                <a:endParaRPr lang="en-US" sz="1000"/>
              </a:p>
              <a:p>
                <a:pPr>
                  <a:defRPr sz="1100" b="1" i="0" u="none" strike="noStrike" kern="1200" baseline="0">
                    <a:solidFill>
                      <a:schemeClr val="tx2"/>
                    </a:solidFill>
                    <a:latin typeface="+mn-lt"/>
                    <a:ea typeface="+mn-ea"/>
                    <a:cs typeface="+mn-cs"/>
                  </a:defRPr>
                </a:pPr>
                <a:r>
                  <a:rPr lang="en-US" sz="1000"/>
                  <a:t> </a:t>
                </a:r>
                <a:fld id="{D21665C9-8161-3948-8C63-86F1377E31C1}" type="VALUE">
                  <a:rPr lang="en-US" sz="1000"/>
                  <a:pPr>
                    <a:defRPr sz="1100" b="1" i="0" u="none" strike="noStrike" kern="1200" baseline="0">
                      <a:solidFill>
                        <a:schemeClr val="tx2"/>
                      </a:solidFill>
                      <a:latin typeface="+mn-lt"/>
                      <a:ea typeface="+mn-ea"/>
                      <a:cs typeface="+mn-cs"/>
                    </a:defRPr>
                  </a:pPr>
                  <a:t>[VALUE]</a:t>
                </a:fld>
                <a:r>
                  <a:rPr lang="en-US" sz="1000"/>
                  <a:t> </a:t>
                </a:r>
              </a:p>
              <a:p>
                <a:pPr>
                  <a:defRPr sz="1100" b="1" i="0" u="none" strike="noStrike" kern="1200" baseline="0">
                    <a:solidFill>
                      <a:schemeClr val="tx2"/>
                    </a:solidFill>
                    <a:latin typeface="+mn-lt"/>
                    <a:ea typeface="+mn-ea"/>
                    <a:cs typeface="+mn-cs"/>
                  </a:defRPr>
                </a:pPr>
                <a:fld id="{100FFC63-E70F-3B4D-AC2B-4553B816318D}" type="PERCENTAGE">
                  <a:rPr lang="en-US" sz="1000"/>
                  <a:pPr>
                    <a:defRPr sz="1100" b="1" i="0" u="none" strike="noStrike" kern="1200" baseline="0">
                      <a:solidFill>
                        <a:schemeClr val="tx2"/>
                      </a:solidFill>
                      <a:latin typeface="+mn-lt"/>
                      <a:ea typeface="+mn-ea"/>
                      <a:cs typeface="+mn-cs"/>
                    </a:defRPr>
                  </a:pPr>
                  <a:t>[PERCENTAGE]</a:t>
                </a:fld>
                <a:endParaRPr lang="en-GB"/>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6">
              <a:lumMod val="40000"/>
              <a:lumOff val="60000"/>
            </a:schemeClr>
          </a:solidFill>
          <a:ln>
            <a:noFill/>
          </a:ln>
          <a:effectLst/>
        </c:spPr>
        <c:dLbl>
          <c:idx val="0"/>
          <c:layout>
            <c:manualLayout>
              <c:x val="-0.26288659793814434"/>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F21F40FD-2E0F-1D4C-8712-2569217E257E}" type="CATEGORYNAME">
                  <a:rPr lang="en-US" sz="1000"/>
                  <a:pPr>
                    <a:defRPr sz="1100" b="1" i="0" u="none" strike="noStrike" kern="1200" baseline="0">
                      <a:solidFill>
                        <a:schemeClr val="tx2"/>
                      </a:solidFill>
                      <a:latin typeface="+mn-lt"/>
                      <a:ea typeface="+mn-ea"/>
                      <a:cs typeface="+mn-cs"/>
                    </a:defRPr>
                  </a:pPr>
                  <a:t>[CATEGORY NAME]</a:t>
                </a:fld>
                <a:r>
                  <a:rPr lang="en-US" sz="1000"/>
                  <a:t> </a:t>
                </a:r>
              </a:p>
              <a:p>
                <a:pPr>
                  <a:defRPr sz="1100" b="1" i="0" u="none" strike="noStrike" kern="1200" baseline="0">
                    <a:solidFill>
                      <a:schemeClr val="tx2"/>
                    </a:solidFill>
                    <a:latin typeface="+mn-lt"/>
                    <a:ea typeface="+mn-ea"/>
                    <a:cs typeface="+mn-cs"/>
                  </a:defRPr>
                </a:pPr>
                <a:fld id="{ABB7AF73-C62C-8D4C-BB82-281EBF72BD26}" type="VALUE">
                  <a:rPr lang="en-US" sz="1000"/>
                  <a:pPr>
                    <a:defRPr sz="1100" b="1" i="0" u="none" strike="noStrike" kern="1200" baseline="0">
                      <a:solidFill>
                        <a:schemeClr val="tx2"/>
                      </a:solidFill>
                      <a:latin typeface="+mn-lt"/>
                      <a:ea typeface="+mn-ea"/>
                      <a:cs typeface="+mn-cs"/>
                    </a:defRPr>
                  </a:pPr>
                  <a:t>[VALUE]</a:t>
                </a:fld>
                <a:endParaRPr lang="en-US" sz="1000"/>
              </a:p>
              <a:p>
                <a:pPr>
                  <a:defRPr sz="1100" b="1" i="0" u="none" strike="noStrike" kern="1200" baseline="0">
                    <a:solidFill>
                      <a:schemeClr val="tx2"/>
                    </a:solidFill>
                    <a:latin typeface="+mn-lt"/>
                    <a:ea typeface="+mn-ea"/>
                    <a:cs typeface="+mn-cs"/>
                  </a:defRPr>
                </a:pPr>
                <a:r>
                  <a:rPr lang="en-US" sz="1000"/>
                  <a:t> </a:t>
                </a:r>
                <a:fld id="{BC69E829-C4A0-6546-A6B2-7C7CF09FA7DE}" type="PERCENTAGE">
                  <a:rPr lang="en-US" sz="1000"/>
                  <a:pPr>
                    <a:defRPr sz="1100" b="1" i="0" u="none" strike="noStrike" kern="1200" baseline="0">
                      <a:solidFill>
                        <a:schemeClr val="tx2"/>
                      </a:solidFill>
                      <a:latin typeface="+mn-lt"/>
                      <a:ea typeface="+mn-ea"/>
                      <a:cs typeface="+mn-cs"/>
                    </a:defRPr>
                  </a:pPr>
                  <a:t>[PERCENTAGE]</a:t>
                </a:fld>
                <a:endParaRPr lang="en-US" sz="100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2">
              <a:lumMod val="40000"/>
              <a:lumOff val="60000"/>
            </a:schemeClr>
          </a:solidFill>
          <a:ln>
            <a:noFill/>
          </a:ln>
          <a:effectLst/>
        </c:spPr>
        <c:dLbl>
          <c:idx val="0"/>
          <c:layout>
            <c:manualLayout>
              <c:x val="-0.23024054982817868"/>
              <c:y val="-2.518891687657430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33A79CF0-C3AC-0644-9D5F-5EDE2F2B9214}" type="CATEGORYNAME">
                  <a:rPr lang="en-US" sz="1000"/>
                  <a:pPr>
                    <a:defRPr sz="1100" b="1" i="0" u="none" strike="noStrike" kern="1200" baseline="0">
                      <a:solidFill>
                        <a:schemeClr val="tx2"/>
                      </a:solidFill>
                      <a:latin typeface="+mn-lt"/>
                      <a:ea typeface="+mn-ea"/>
                      <a:cs typeface="+mn-cs"/>
                    </a:defRPr>
                  </a:pPr>
                  <a:t>[CATEGORY NAME]</a:t>
                </a:fld>
                <a:endParaRPr lang="en-US" sz="1000"/>
              </a:p>
              <a:p>
                <a:pPr>
                  <a:defRPr sz="1100" b="1" i="0" u="none" strike="noStrike" kern="1200" baseline="0">
                    <a:solidFill>
                      <a:schemeClr val="tx2"/>
                    </a:solidFill>
                    <a:latin typeface="+mn-lt"/>
                    <a:ea typeface="+mn-ea"/>
                    <a:cs typeface="+mn-cs"/>
                  </a:defRPr>
                </a:pPr>
                <a:fld id="{3BD65459-2D04-584A-9ECC-E2FED5E2C635}" type="VALUE">
                  <a:rPr lang="en-US" sz="1000"/>
                  <a:pPr>
                    <a:defRPr sz="1100" b="1" i="0" u="none" strike="noStrike" kern="1200" baseline="0">
                      <a:solidFill>
                        <a:schemeClr val="tx2"/>
                      </a:solidFill>
                      <a:latin typeface="+mn-lt"/>
                      <a:ea typeface="+mn-ea"/>
                      <a:cs typeface="+mn-cs"/>
                    </a:defRPr>
                  </a:pPr>
                  <a:t>[VALUE]</a:t>
                </a:fld>
                <a:endParaRPr lang="en-US" sz="1000"/>
              </a:p>
              <a:p>
                <a:pPr>
                  <a:defRPr sz="1100" b="1" i="0" u="none" strike="noStrike" kern="1200" baseline="0">
                    <a:solidFill>
                      <a:schemeClr val="tx2"/>
                    </a:solidFill>
                    <a:latin typeface="+mn-lt"/>
                    <a:ea typeface="+mn-ea"/>
                    <a:cs typeface="+mn-cs"/>
                  </a:defRPr>
                </a:pPr>
                <a:r>
                  <a:rPr lang="en-US" sz="1000"/>
                  <a:t> </a:t>
                </a:r>
                <a:fld id="{2D1F6D97-C66B-F941-A2F3-FFECD2000E59}" type="PERCENTAGE">
                  <a:rPr lang="en-US" sz="1000"/>
                  <a:pPr>
                    <a:defRPr sz="1100" b="1" i="0" u="none" strike="noStrike" kern="1200" baseline="0">
                      <a:solidFill>
                        <a:schemeClr val="tx2"/>
                      </a:solidFill>
                      <a:latin typeface="+mn-lt"/>
                      <a:ea typeface="+mn-ea"/>
                      <a:cs typeface="+mn-cs"/>
                    </a:defRPr>
                  </a:pPr>
                  <a:t>[PERCENTAGE]</a:t>
                </a:fld>
                <a:endParaRPr lang="en-US" sz="100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C5E0B5"/>
          </a:solidFill>
          <a:ln>
            <a:noFill/>
          </a:ln>
          <a:effectLst/>
        </c:spPr>
        <c:dLbl>
          <c:idx val="0"/>
          <c:layout>
            <c:manualLayout>
              <c:x val="-0.24298061954290098"/>
              <c:y val="-3.7350583436106632E-3"/>
            </c:manualLayout>
          </c:layout>
          <c:tx>
            <c:rich>
              <a:bodyPr wrap="square" lIns="38100" tIns="19050" rIns="38100" bIns="19050" anchor="ctr">
                <a:spAutoFit/>
              </a:bodyPr>
              <a:lstStyle/>
              <a:p>
                <a:pPr>
                  <a:defRPr b="1"/>
                </a:pPr>
                <a:fld id="{622ADCCE-1DFF-1D44-B0D7-F288C169D514}" type="CATEGORYNAME">
                  <a:rPr lang="en-US" b="1"/>
                  <a:pPr>
                    <a:defRPr b="1"/>
                  </a:pPr>
                  <a:t>[CATEGORY NAME]</a:t>
                </a:fld>
                <a:r>
                  <a:rPr lang="en-US" b="1" baseline="0"/>
                  <a:t> </a:t>
                </a:r>
                <a:fld id="{453F9176-5495-FC47-BF45-CB7BE4A38A41}" type="VALUE">
                  <a:rPr lang="en-US" b="1" baseline="0"/>
                  <a:pPr>
                    <a:defRPr b="1"/>
                  </a:pPr>
                  <a:t>[VALUE]</a:t>
                </a:fld>
                <a:r>
                  <a:rPr lang="en-US" b="1" baseline="0"/>
                  <a:t> </a:t>
                </a:r>
              </a:p>
              <a:p>
                <a:pPr>
                  <a:defRPr b="1"/>
                </a:pPr>
                <a:fld id="{8FA4E214-1052-8648-AA94-6ADC9BCA5CD7}" type="PERCENTAGE">
                  <a:rPr lang="en-US" b="1" baseline="0"/>
                  <a:pPr>
                    <a:defRPr b="1"/>
                  </a:pPr>
                  <a:t>[PERCENTAGE]</a:t>
                </a:fld>
                <a:endParaRPr lang="en-GB"/>
              </a:p>
            </c:rich>
          </c:tx>
          <c:spPr>
            <a:noFill/>
            <a:ln>
              <a:noFill/>
            </a:ln>
            <a:effectLst/>
          </c:spPr>
          <c:showLegendKey val="0"/>
          <c:showVal val="1"/>
          <c:showCatName val="1"/>
          <c:showSerName val="0"/>
          <c:showPercent val="1"/>
          <c:showBubbleSize val="0"/>
          <c:extLst>
            <c:ext xmlns:c15="http://schemas.microsoft.com/office/drawing/2012/chart" uri="{CE6537A1-D6FC-4f65-9D91-7224C49458BB}">
              <c15:layout>
                <c:manualLayout>
                  <c:w val="0.18126712892231756"/>
                  <c:h val="0.20811233595800521"/>
                </c:manualLayout>
              </c15:layout>
              <c15:dlblFieldTable/>
              <c15:showDataLabelsRange val="0"/>
            </c:ext>
          </c:extLst>
        </c:dLbl>
      </c:pivotFmt>
      <c:pivotFmt>
        <c:idx val="16"/>
        <c:spPr>
          <a:solidFill>
            <a:srgbClr val="B4C8E8"/>
          </a:solidFill>
          <a:ln>
            <a:noFill/>
          </a:ln>
          <a:effectLst/>
        </c:spPr>
        <c:dLbl>
          <c:idx val="0"/>
          <c:layout>
            <c:manualLayout>
              <c:x val="0.21244264605813151"/>
              <c:y val="0"/>
            </c:manualLayout>
          </c:layout>
          <c:tx>
            <c:rich>
              <a:bodyPr rot="0" spcFirstLastPara="1" vertOverflow="ellipsis" vert="horz" wrap="square" lIns="0" tIns="0" rIns="0" bIns="0" anchor="ctr" anchorCtr="1">
                <a:spAutoFit/>
              </a:bodyPr>
              <a:lstStyle/>
              <a:p>
                <a:pPr>
                  <a:defRPr sz="1100" b="1" i="0" u="none" strike="noStrike" kern="1200" baseline="0">
                    <a:solidFill>
                      <a:schemeClr val="tx2"/>
                    </a:solidFill>
                    <a:latin typeface="+mn-lt"/>
                    <a:ea typeface="+mn-ea"/>
                    <a:cs typeface="+mn-cs"/>
                  </a:defRPr>
                </a:pPr>
                <a:fld id="{BCC8B66E-669C-AD4E-B92C-D3CE3430B0FB}" type="CATEGORYNAME">
                  <a:rPr lang="en-US" b="1"/>
                  <a:pPr>
                    <a:defRPr sz="1100" b="1" i="0" u="none" strike="noStrike" kern="1200" baseline="0">
                      <a:solidFill>
                        <a:schemeClr val="tx2"/>
                      </a:solidFill>
                      <a:latin typeface="+mn-lt"/>
                      <a:ea typeface="+mn-ea"/>
                      <a:cs typeface="+mn-cs"/>
                    </a:defRPr>
                  </a:pPr>
                  <a:t>[CATEGORY NAME]</a:t>
                </a:fld>
                <a:r>
                  <a:rPr lang="en-US" b="1" baseline="0"/>
                  <a:t> </a:t>
                </a:r>
                <a:fld id="{651C430E-8FB7-9541-86BE-C44EF340506B}" type="VALUE">
                  <a:rPr lang="en-US" b="1" baseline="0"/>
                  <a:pPr>
                    <a:defRPr sz="1100" b="1" i="0" u="none" strike="noStrike" kern="1200" baseline="0">
                      <a:solidFill>
                        <a:schemeClr val="tx2"/>
                      </a:solidFill>
                      <a:latin typeface="+mn-lt"/>
                      <a:ea typeface="+mn-ea"/>
                      <a:cs typeface="+mn-cs"/>
                    </a:defRPr>
                  </a:pPr>
                  <a:t>[VALUE]</a:t>
                </a:fld>
                <a:r>
                  <a:rPr lang="en-US" b="1" baseline="0"/>
                  <a:t> </a:t>
                </a:r>
                <a:fld id="{6F5A50E8-B53E-C842-9763-1C68D19C6710}" type="PERCENTAGE">
                  <a:rPr lang="en-US" b="1" baseline="0"/>
                  <a:pPr>
                    <a:defRPr sz="1100" b="1" i="0" u="none" strike="noStrike" kern="1200" baseline="0">
                      <a:solidFill>
                        <a:schemeClr val="tx2"/>
                      </a:solidFill>
                      <a:latin typeface="+mn-lt"/>
                      <a:ea typeface="+mn-ea"/>
                      <a:cs typeface="+mn-cs"/>
                    </a:defRPr>
                  </a:pPr>
                  <a:t>[PERCENTAGE]</a:t>
                </a:fld>
                <a:endParaRPr lang="en-US" b="1"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layout>
                <c:manualLayout>
                  <c:w val="0.17497812773403323"/>
                  <c:h val="0.16976470588235293"/>
                </c:manualLayout>
              </c15:layout>
              <c15:dlblFieldTable/>
              <c15:showDataLabelsRange val="0"/>
            </c:ext>
          </c:extLst>
        </c:dLbl>
      </c:pivotFmt>
      <c:pivotFmt>
        <c:idx val="17"/>
        <c:spPr>
          <a:solidFill>
            <a:srgbClr val="F8CBAD"/>
          </a:solidFill>
          <a:ln>
            <a:noFill/>
          </a:ln>
          <a:effectLst/>
        </c:spPr>
        <c:dLbl>
          <c:idx val="0"/>
          <c:layout>
            <c:manualLayout>
              <c:x val="-0.22786183245718927"/>
              <c:y val="-4.9255288872023526E-3"/>
            </c:manualLayout>
          </c:layout>
          <c:tx>
            <c:rich>
              <a:bodyPr wrap="square" lIns="38100" tIns="19050" rIns="38100" bIns="19050" anchor="ctr">
                <a:spAutoFit/>
              </a:bodyPr>
              <a:lstStyle/>
              <a:p>
                <a:pPr>
                  <a:defRPr b="1"/>
                </a:pPr>
                <a:fld id="{0C5CA70B-C2F4-CC42-B3D6-393CA9F15046}" type="CATEGORYNAME">
                  <a:rPr lang="en-US" b="1"/>
                  <a:pPr>
                    <a:defRPr b="1"/>
                  </a:pPr>
                  <a:t>[CATEGORY NAME]</a:t>
                </a:fld>
                <a:r>
                  <a:rPr lang="en-US" b="1" baseline="0"/>
                  <a:t> </a:t>
                </a:r>
                <a:fld id="{3E221B54-BF25-7F47-A8F5-66317B775558}" type="VALUE">
                  <a:rPr lang="en-US" b="1" baseline="0"/>
                  <a:pPr>
                    <a:defRPr b="1"/>
                  </a:pPr>
                  <a:t>[VALUE]</a:t>
                </a:fld>
                <a:endParaRPr lang="en-US" b="1" baseline="0"/>
              </a:p>
              <a:p>
                <a:pPr>
                  <a:defRPr b="1"/>
                </a:pPr>
                <a:r>
                  <a:rPr lang="en-US" b="1" baseline="0"/>
                  <a:t> </a:t>
                </a:r>
                <a:fld id="{98EE5386-B1AE-3F48-9628-9AEF29212B13}" type="PERCENTAGE">
                  <a:rPr lang="en-US" b="1" baseline="0"/>
                  <a:pPr>
                    <a:defRPr b="1"/>
                  </a:pPr>
                  <a:t>[PERCENTAGE]</a:t>
                </a:fld>
                <a:endParaRPr lang="en-US" b="1"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ln>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9"/>
        <c:spPr>
          <a:solidFill>
            <a:srgbClr val="F0C1E7"/>
          </a:solidFill>
          <a:ln>
            <a:noFill/>
          </a:ln>
        </c:spPr>
        <c:dLbl>
          <c:idx val="0"/>
          <c:layout>
            <c:manualLayout>
              <c:x val="0.33919139047447139"/>
              <c:y val="3.0120481927710845E-3"/>
            </c:manualLayout>
          </c:layout>
          <c:spPr>
            <a:noFill/>
            <a:ln>
              <a:noFill/>
            </a:ln>
            <a:effectLst/>
          </c:spPr>
          <c:txPr>
            <a:bodyPr wrap="square" lIns="38100" tIns="19050" rIns="38100" bIns="19050" anchor="ctr">
              <a:spAutoFit/>
            </a:bodyPr>
            <a:lstStyle/>
            <a:p>
              <a:pPr>
                <a:defRPr b="1"/>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5">
              <a:lumMod val="40000"/>
              <a:lumOff val="60000"/>
            </a:schemeClr>
          </a:solidFill>
          <a:ln>
            <a:noFill/>
          </a:ln>
        </c:spPr>
        <c:dLbl>
          <c:idx val="0"/>
          <c:layout>
            <c:manualLayout>
              <c:x val="-0.26069657674310193"/>
              <c:y val="-3.0120447741171247E-3"/>
            </c:manualLayout>
          </c:layout>
          <c:tx>
            <c:rich>
              <a:bodyPr wrap="square" lIns="38100" tIns="19050" rIns="38100" bIns="19050" anchor="ctr">
                <a:spAutoFit/>
              </a:bodyPr>
              <a:lstStyle/>
              <a:p>
                <a:pPr>
                  <a:defRPr/>
                </a:pPr>
                <a:fld id="{02E4BFA5-9EC4-F647-89F8-23993A5C4E27}" type="CATEGORYNAME">
                  <a:rPr lang="en-US"/>
                  <a:pPr>
                    <a:defRPr/>
                  </a:pPr>
                  <a:t>[CATEGORY NAME]</a:t>
                </a:fld>
                <a:br>
                  <a:rPr lang="en-US" baseline="0"/>
                </a:br>
                <a:fld id="{A8398878-E33A-1E4F-98FD-91E4062C8D85}" type="VALUE">
                  <a:rPr lang="en-US" baseline="0"/>
                  <a:pPr>
                    <a:defRPr/>
                  </a:pPr>
                  <a:t>[VALUE]</a:t>
                </a:fld>
                <a:br>
                  <a:rPr lang="en-US" baseline="0"/>
                </a:br>
                <a:fld id="{44419DE3-BA16-4542-B54E-F75B363BDE6B}" type="PERCENTAGE">
                  <a:rPr lang="en-US" baseline="0"/>
                  <a:pPr>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1"/>
        <c:spPr>
          <a:solidFill>
            <a:srgbClr val="C5E0B5"/>
          </a:solidFill>
          <a:ln>
            <a:noFill/>
          </a:ln>
        </c:spPr>
        <c:dLbl>
          <c:idx val="0"/>
          <c:layout>
            <c:manualLayout>
              <c:x val="-0.3859869751541376"/>
              <c:y val="-1.699879214030876E-3"/>
            </c:manualLayout>
          </c:layout>
          <c:tx>
            <c:rich>
              <a:bodyPr wrap="square" lIns="38100" tIns="19050" rIns="38100" bIns="19050" anchor="ctr">
                <a:noAutofit/>
              </a:bodyPr>
              <a:lstStyle/>
              <a:p>
                <a:pPr>
                  <a:defRPr/>
                </a:pPr>
                <a:fld id="{83CCFE4E-B6CE-DC45-BAFA-6E758B0D6FC9}" type="CATEGORYNAME">
                  <a:rPr lang="en-US"/>
                  <a:pPr>
                    <a:defRPr/>
                  </a:pPr>
                  <a:t>[CATEGORY NAME]</a:t>
                </a:fld>
                <a:br>
                  <a:rPr lang="en-US" baseline="0"/>
                </a:br>
                <a:r>
                  <a:rPr lang="en-US" baseline="0"/>
                  <a:t> </a:t>
                </a:r>
                <a:fld id="{347E7298-89EE-4D48-848A-5EEC6AB7F081}" type="VALUE">
                  <a:rPr lang="en-US" baseline="0"/>
                  <a:pPr>
                    <a:defRPr/>
                  </a:pPr>
                  <a:t>[VALUE]</a:t>
                </a:fld>
                <a:br>
                  <a:rPr lang="en-US" baseline="0"/>
                </a:br>
                <a:fld id="{FFA8BA10-5796-8F45-99A8-61259C10A063}" type="PERCENTAGE">
                  <a:rPr lang="en-US" baseline="0"/>
                  <a:pPr>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layout>
                <c:manualLayout>
                  <c:w val="0.16825501013659477"/>
                  <c:h val="0.17655133331840778"/>
                </c:manualLayout>
              </c15:layout>
              <c15:dlblFieldTable/>
              <c15:showDataLabelsRange val="0"/>
            </c:ext>
          </c:extLst>
        </c:dLbl>
      </c:pivotFmt>
      <c:pivotFmt>
        <c:idx val="22"/>
        <c:spPr>
          <a:solidFill>
            <a:srgbClr val="E6D9F7"/>
          </a:solidFill>
          <a:ln>
            <a:noFill/>
          </a:ln>
        </c:spPr>
        <c:dLbl>
          <c:idx val="0"/>
          <c:layout>
            <c:manualLayout>
              <c:x val="0.19561485313392063"/>
              <c:y val="-2.3661745658784287E-3"/>
            </c:manualLayout>
          </c:layout>
          <c:tx>
            <c:rich>
              <a:bodyPr wrap="square" lIns="38100" tIns="19050" rIns="38100" bIns="19050" anchor="ctr">
                <a:spAutoFit/>
              </a:bodyPr>
              <a:lstStyle/>
              <a:p>
                <a:pPr>
                  <a:defRPr/>
                </a:pPr>
                <a:fld id="{6B260701-2ABB-D147-A7D4-7360CA9BCD8A}" type="CATEGORYNAME">
                  <a:rPr lang="en-US"/>
                  <a:pPr>
                    <a:defRPr/>
                  </a:pPr>
                  <a:t>[CATEGORY NAME]</a:t>
                </a:fld>
                <a:br>
                  <a:rPr lang="en-US" baseline="0"/>
                </a:br>
                <a:r>
                  <a:rPr lang="en-US" baseline="0"/>
                  <a:t> </a:t>
                </a:r>
                <a:fld id="{BA3A14D0-2D3E-5747-BC67-4DB58F88FCCF}" type="VALUE">
                  <a:rPr lang="en-US" baseline="0"/>
                  <a:pPr>
                    <a:defRPr/>
                  </a:pPr>
                  <a:t>[VALUE]</a:t>
                </a:fld>
                <a:br>
                  <a:rPr lang="en-US" baseline="0"/>
                </a:br>
                <a:fld id="{03F59F86-A8D5-6F43-A586-C55E0031AB8A}" type="PERCENTAGE">
                  <a:rPr lang="en-US" baseline="0"/>
                  <a:pPr>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3"/>
        <c:spPr>
          <a:solidFill>
            <a:schemeClr val="accent2">
              <a:lumMod val="40000"/>
              <a:lumOff val="60000"/>
            </a:schemeClr>
          </a:solidFill>
          <a:ln>
            <a:noFill/>
          </a:ln>
        </c:spPr>
        <c:dLbl>
          <c:idx val="0"/>
          <c:layout>
            <c:manualLayout>
              <c:x val="0.27317784131448253"/>
              <c:y val="-5.3781506911241735E-3"/>
            </c:manualLayout>
          </c:layout>
          <c:tx>
            <c:rich>
              <a:bodyPr wrap="square" lIns="38100" tIns="19050" rIns="38100" bIns="19050" anchor="ctr">
                <a:spAutoFit/>
              </a:bodyPr>
              <a:lstStyle/>
              <a:p>
                <a:pPr>
                  <a:defRPr/>
                </a:pPr>
                <a:fld id="{592B1654-DA01-B749-BE97-D9F564DED6FF}" type="CATEGORYNAME">
                  <a:rPr lang="en-US"/>
                  <a:pPr>
                    <a:defRPr/>
                  </a:pPr>
                  <a:t>[CATEGORY NAME]</a:t>
                </a:fld>
                <a:br>
                  <a:rPr lang="en-US"/>
                </a:br>
                <a:fld id="{839E30C5-B2E3-5D4C-A5E0-2481BDD58BA7}" type="VALUE">
                  <a:rPr lang="en-US" baseline="0"/>
                  <a:pPr>
                    <a:defRPr/>
                  </a:pPr>
                  <a:t>[VALUE]</a:t>
                </a:fld>
                <a:br>
                  <a:rPr lang="en-US" baseline="0"/>
                </a:br>
                <a:fld id="{4E0EEDB5-4185-D04D-82EF-E1E45320FEF5}" type="PERCENTAGE">
                  <a:rPr lang="en-US" baseline="0"/>
                  <a:pPr>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128993388423403"/>
          <c:y val="0.25468380814569624"/>
          <c:w val="0.57499853349276897"/>
          <c:h val="0.60444122948486856"/>
        </c:manualLayout>
      </c:layout>
      <c:doughnutChart>
        <c:varyColors val="1"/>
        <c:ser>
          <c:idx val="0"/>
          <c:order val="0"/>
          <c:tx>
            <c:strRef>
              <c:f>pivot_tables!$B$46:$B$47</c:f>
              <c:strCache>
                <c:ptCount val="1"/>
                <c:pt idx="0">
                  <c:v>Expected</c:v>
                </c:pt>
              </c:strCache>
            </c:strRef>
          </c:tx>
          <c:spPr>
            <a:ln>
              <a:noFill/>
            </a:ln>
          </c:spPr>
          <c:dPt>
            <c:idx val="0"/>
            <c:bubble3D val="0"/>
            <c:spPr>
              <a:solidFill>
                <a:srgbClr val="C5E0B5"/>
              </a:solidFill>
              <a:ln>
                <a:noFill/>
              </a:ln>
            </c:spPr>
            <c:extLst>
              <c:ext xmlns:c16="http://schemas.microsoft.com/office/drawing/2014/chart" uri="{C3380CC4-5D6E-409C-BE32-E72D297353CC}">
                <c16:uniqueId val="{00000011-20EA-1247-973B-AA752AA7C45F}"/>
              </c:ext>
            </c:extLst>
          </c:dPt>
          <c:dPt>
            <c:idx val="1"/>
            <c:bubble3D val="0"/>
            <c:spPr>
              <a:solidFill>
                <a:schemeClr val="accent5">
                  <a:lumMod val="40000"/>
                  <a:lumOff val="60000"/>
                </a:schemeClr>
              </a:solidFill>
              <a:ln>
                <a:noFill/>
              </a:ln>
            </c:spPr>
            <c:extLst>
              <c:ext xmlns:c16="http://schemas.microsoft.com/office/drawing/2014/chart" uri="{C3380CC4-5D6E-409C-BE32-E72D297353CC}">
                <c16:uniqueId val="{00000010-20EA-1247-973B-AA752AA7C45F}"/>
              </c:ext>
            </c:extLst>
          </c:dPt>
          <c:dPt>
            <c:idx val="2"/>
            <c:bubble3D val="0"/>
            <c:spPr>
              <a:solidFill>
                <a:schemeClr val="accent2">
                  <a:lumMod val="40000"/>
                  <a:lumOff val="60000"/>
                </a:schemeClr>
              </a:solidFill>
              <a:ln>
                <a:noFill/>
              </a:ln>
            </c:spPr>
            <c:extLst>
              <c:ext xmlns:c16="http://schemas.microsoft.com/office/drawing/2014/chart" uri="{C3380CC4-5D6E-409C-BE32-E72D297353CC}">
                <c16:uniqueId val="{00000012-20EA-1247-973B-AA752AA7C45F}"/>
              </c:ext>
            </c:extLst>
          </c:dPt>
          <c:dPt>
            <c:idx val="3"/>
            <c:bubble3D val="0"/>
            <c:spPr>
              <a:solidFill>
                <a:srgbClr val="E6D9F7"/>
              </a:solidFill>
              <a:ln>
                <a:noFill/>
              </a:ln>
            </c:spPr>
            <c:extLst>
              <c:ext xmlns:c16="http://schemas.microsoft.com/office/drawing/2014/chart" uri="{C3380CC4-5D6E-409C-BE32-E72D297353CC}">
                <c16:uniqueId val="{00000006-A9D0-224B-BDA0-C341A9A86A09}"/>
              </c:ext>
            </c:extLst>
          </c:dPt>
          <c:dLbls>
            <c:dLbl>
              <c:idx val="0"/>
              <c:layout>
                <c:manualLayout>
                  <c:x val="-0.3859869751541376"/>
                  <c:y val="-1.699879214030876E-3"/>
                </c:manualLayout>
              </c:layout>
              <c:tx>
                <c:rich>
                  <a:bodyPr wrap="square" lIns="38100" tIns="19050" rIns="38100" bIns="19050" anchor="ctr">
                    <a:noAutofit/>
                  </a:bodyPr>
                  <a:lstStyle/>
                  <a:p>
                    <a:pPr>
                      <a:defRPr/>
                    </a:pPr>
                    <a:fld id="{83CCFE4E-B6CE-DC45-BAFA-6E758B0D6FC9}" type="CATEGORYNAME">
                      <a:rPr lang="en-US"/>
                      <a:pPr>
                        <a:defRPr/>
                      </a:pPr>
                      <a:t>[CATEGORY NAME]</a:t>
                    </a:fld>
                    <a:br>
                      <a:rPr lang="en-US" baseline="0"/>
                    </a:br>
                    <a:r>
                      <a:rPr lang="en-US" baseline="0"/>
                      <a:t> </a:t>
                    </a:r>
                    <a:fld id="{347E7298-89EE-4D48-848A-5EEC6AB7F081}" type="VALUE">
                      <a:rPr lang="en-US" baseline="0"/>
                      <a:pPr>
                        <a:defRPr/>
                      </a:pPr>
                      <a:t>[VALUE]</a:t>
                    </a:fld>
                    <a:br>
                      <a:rPr lang="en-US" baseline="0"/>
                    </a:br>
                    <a:fld id="{FFA8BA10-5796-8F45-99A8-61259C10A063}" type="PERCENTAGE">
                      <a:rPr lang="en-US" baseline="0"/>
                      <a:pPr>
                        <a:defRPr/>
                      </a:pPr>
                      <a:t>[PERCENTAGE]</a:t>
                    </a:fld>
                    <a:endParaRPr lang="en-US" baseline="0"/>
                  </a:p>
                </c:rich>
              </c:tx>
              <c:spPr>
                <a:noFill/>
                <a:ln>
                  <a:noFill/>
                </a:ln>
                <a:effectLst/>
              </c:spPr>
              <c:showLegendKey val="0"/>
              <c:showVal val="1"/>
              <c:showCatName val="1"/>
              <c:showSerName val="0"/>
              <c:showPercent val="1"/>
              <c:showBubbleSize val="0"/>
              <c:extLst>
                <c:ext xmlns:c15="http://schemas.microsoft.com/office/drawing/2012/chart" uri="{CE6537A1-D6FC-4f65-9D91-7224C49458BB}">
                  <c15:layout>
                    <c:manualLayout>
                      <c:w val="0.16825501013659477"/>
                      <c:h val="0.17655133331840778"/>
                    </c:manualLayout>
                  </c15:layout>
                  <c15:dlblFieldTable/>
                  <c15:showDataLabelsRange val="0"/>
                </c:ext>
                <c:ext xmlns:c16="http://schemas.microsoft.com/office/drawing/2014/chart" uri="{C3380CC4-5D6E-409C-BE32-E72D297353CC}">
                  <c16:uniqueId val="{00000011-20EA-1247-973B-AA752AA7C45F}"/>
                </c:ext>
              </c:extLst>
            </c:dLbl>
            <c:dLbl>
              <c:idx val="1"/>
              <c:layout>
                <c:manualLayout>
                  <c:x val="-0.26069657674310193"/>
                  <c:y val="-3.0120447741171247E-3"/>
                </c:manualLayout>
              </c:layout>
              <c:tx>
                <c:rich>
                  <a:bodyPr/>
                  <a:lstStyle/>
                  <a:p>
                    <a:fld id="{02E4BFA5-9EC4-F647-89F8-23993A5C4E27}" type="CATEGORYNAME">
                      <a:rPr lang="en-US"/>
                      <a:pPr/>
                      <a:t>[CATEGORY NAME]</a:t>
                    </a:fld>
                    <a:br>
                      <a:rPr lang="en-US" baseline="0"/>
                    </a:br>
                    <a:fld id="{A8398878-E33A-1E4F-98FD-91E4062C8D85}" type="VALUE">
                      <a:rPr lang="en-US" baseline="0"/>
                      <a:pPr/>
                      <a:t>[VALUE]</a:t>
                    </a:fld>
                    <a:br>
                      <a:rPr lang="en-US" baseline="0"/>
                    </a:br>
                    <a:fld id="{44419DE3-BA16-4542-B54E-F75B363BDE6B}"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20EA-1247-973B-AA752AA7C45F}"/>
                </c:ext>
              </c:extLst>
            </c:dLbl>
            <c:dLbl>
              <c:idx val="2"/>
              <c:layout>
                <c:manualLayout>
                  <c:x val="0.27317784131448253"/>
                  <c:y val="-5.3781506911241735E-3"/>
                </c:manualLayout>
              </c:layout>
              <c:tx>
                <c:rich>
                  <a:bodyPr/>
                  <a:lstStyle/>
                  <a:p>
                    <a:fld id="{592B1654-DA01-B749-BE97-D9F564DED6FF}" type="CATEGORYNAME">
                      <a:rPr lang="en-US"/>
                      <a:pPr/>
                      <a:t>[CATEGORY NAME]</a:t>
                    </a:fld>
                    <a:br>
                      <a:rPr lang="en-US"/>
                    </a:br>
                    <a:fld id="{839E30C5-B2E3-5D4C-A5E0-2481BDD58BA7}" type="VALUE">
                      <a:rPr lang="en-US" baseline="0"/>
                      <a:pPr/>
                      <a:t>[VALUE]</a:t>
                    </a:fld>
                    <a:br>
                      <a:rPr lang="en-US" baseline="0"/>
                    </a:br>
                    <a:fld id="{4E0EEDB5-4185-D04D-82EF-E1E45320FEF5}"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20EA-1247-973B-AA752AA7C45F}"/>
                </c:ext>
              </c:extLst>
            </c:dLbl>
            <c:dLbl>
              <c:idx val="3"/>
              <c:layout>
                <c:manualLayout>
                  <c:x val="0.19561485313392063"/>
                  <c:y val="-2.3661745658784287E-3"/>
                </c:manualLayout>
              </c:layout>
              <c:tx>
                <c:rich>
                  <a:bodyPr/>
                  <a:lstStyle/>
                  <a:p>
                    <a:fld id="{6B260701-2ABB-D147-A7D4-7360CA9BCD8A}" type="CATEGORYNAME">
                      <a:rPr lang="en-US"/>
                      <a:pPr/>
                      <a:t>[CATEGORY NAME]</a:t>
                    </a:fld>
                    <a:br>
                      <a:rPr lang="en-US" baseline="0"/>
                    </a:br>
                    <a:r>
                      <a:rPr lang="en-US" baseline="0"/>
                      <a:t> </a:t>
                    </a:r>
                    <a:fld id="{BA3A14D0-2D3E-5747-BC67-4DB58F88FCCF}" type="VALUE">
                      <a:rPr lang="en-US" baseline="0"/>
                      <a:pPr/>
                      <a:t>[VALUE]</a:t>
                    </a:fld>
                    <a:br>
                      <a:rPr lang="en-US" baseline="0"/>
                    </a:br>
                    <a:fld id="{03F59F86-A8D5-6F43-A586-C55E0031AB8A}"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9D0-224B-BDA0-C341A9A86A09}"/>
                </c:ext>
              </c:extLst>
            </c:dLbl>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1"/>
            <c:showBubbleSize val="0"/>
            <c:showLeaderLines val="1"/>
            <c:extLst>
              <c:ext xmlns:c15="http://schemas.microsoft.com/office/drawing/2012/chart" uri="{CE6537A1-D6FC-4f65-9D91-7224C49458BB}"/>
            </c:extLst>
          </c:dLbls>
          <c:cat>
            <c:strRef>
              <c:f>pivot_tables!$A$48:$A$52</c:f>
              <c:strCache>
                <c:ptCount val="4"/>
                <c:pt idx="0">
                  <c:v>Emerald Demons</c:v>
                </c:pt>
                <c:pt idx="1">
                  <c:v>Blue Warriors</c:v>
                </c:pt>
                <c:pt idx="2">
                  <c:v>Orange Titans</c:v>
                </c:pt>
                <c:pt idx="3">
                  <c:v>PHX Hockey</c:v>
                </c:pt>
              </c:strCache>
            </c:strRef>
          </c:cat>
          <c:val>
            <c:numRef>
              <c:f>pivot_tables!$B$48:$B$52</c:f>
              <c:numCache>
                <c:formatCode>#,##0.00\ [$€-80C]</c:formatCode>
                <c:ptCount val="4"/>
                <c:pt idx="0">
                  <c:v>11166.5</c:v>
                </c:pt>
                <c:pt idx="1">
                  <c:v>5332.5</c:v>
                </c:pt>
                <c:pt idx="2">
                  <c:v>3360</c:v>
                </c:pt>
                <c:pt idx="3">
                  <c:v>1625</c:v>
                </c:pt>
              </c:numCache>
            </c:numRef>
          </c:val>
          <c:extLst>
            <c:ext xmlns:c16="http://schemas.microsoft.com/office/drawing/2014/chart" uri="{C3380CC4-5D6E-409C-BE32-E72D297353CC}">
              <c16:uniqueId val="{0000000A-20EA-1247-973B-AA752AA7C45F}"/>
            </c:ext>
          </c:extLst>
        </c:ser>
        <c:dLbls>
          <c:showLegendKey val="0"/>
          <c:showVal val="0"/>
          <c:showCatName val="0"/>
          <c:showSerName val="0"/>
          <c:showPercent val="0"/>
          <c:showBubbleSize val="0"/>
          <c:showLeaderLines val="1"/>
        </c:dLbls>
        <c:firstSliceAng val="91"/>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[clubs_earning_details.xlsx]pivot_tables!Monthly_Income_x000d_
</c:name>
    <c:fmtId val="6"/>
  </c:pivotSource>
  <c:chart>
    <c:title>
      <c:tx>
        <c:rich>
          <a:bodyPr rot="0" spcFirstLastPara="1" vertOverflow="ellipsis" vert="horz" wrap="square" anchor="ctr" anchorCtr="1"/>
          <a:lstStyle/>
          <a:p>
            <a:pPr>
              <a:defRPr sz="2400" b="1" i="0" u="none" strike="noStrike" kern="1200" cap="all" spc="0" baseline="0">
                <a:solidFill>
                  <a:srgbClr val="43536A"/>
                </a:solidFill>
                <a:latin typeface="Avenir Next Condensed" panose="020B0506020202020204" pitchFamily="34" charset="0"/>
                <a:ea typeface="+mn-ea"/>
                <a:cs typeface="+mn-cs"/>
              </a:defRPr>
            </a:pPr>
            <a:r>
              <a:rPr lang="en-AU" sz="2400" b="1" i="0" u="none" strike="noStrike" cap="all" baseline="0"/>
              <a:t>Monthly Income</a:t>
            </a:r>
            <a:endParaRPr lang="en-US" sz="2400" b="1">
              <a:solidFill>
                <a:srgbClr val="404040"/>
              </a:solidFill>
            </a:endParaRPr>
          </a:p>
        </c:rich>
      </c:tx>
      <c:layout>
        <c:manualLayout>
          <c:xMode val="edge"/>
          <c:yMode val="edge"/>
          <c:x val="2.476127281842579E-2"/>
          <c:y val="3.4579024760459168E-2"/>
        </c:manualLayout>
      </c:layout>
      <c:overlay val="0"/>
      <c:spPr>
        <a:noFill/>
        <a:ln>
          <a:noFill/>
        </a:ln>
        <a:effectLst/>
      </c:spPr>
      <c:txPr>
        <a:bodyPr rot="0" spcFirstLastPara="1" vertOverflow="ellipsis" vert="horz" wrap="square" anchor="ctr" anchorCtr="1"/>
        <a:lstStyle/>
        <a:p>
          <a:pPr>
            <a:defRPr sz="2400" b="1" i="0" u="none" strike="noStrike" kern="1200" cap="all" spc="0" baseline="0">
              <a:solidFill>
                <a:srgbClr val="43536A"/>
              </a:solidFill>
              <a:latin typeface="Avenir Next Condensed" panose="020B0506020202020204" pitchFamily="34" charset="0"/>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19050" cap="rnd" cmpd="sng" algn="ctr">
            <a:solidFill>
              <a:srgbClr val="C5E0B5"/>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Avenir Next Condensed" panose="020B0506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ln w="19050" cap="rnd" cmpd="sng" algn="ctr">
            <a:solidFill>
              <a:srgbClr val="F8CBAD"/>
            </a:solidFill>
            <a:prstDash val="sysDot"/>
            <a:round/>
          </a:ln>
          <a:effectLst/>
        </c:spPr>
        <c:marker>
          <c:symbol val="circle"/>
          <c:size val="17"/>
          <c:spPr>
            <a:solidFill>
              <a:schemeClr val="lt1"/>
            </a:solidFill>
            <a:ln>
              <a:no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Avenir Next Condensed" panose="020B0506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ln w="19050" cap="rnd" cmpd="sng" algn="ctr">
            <a:solidFill>
              <a:srgbClr val="F8CBAD"/>
            </a:solidFill>
            <a:prstDash val="sysDot"/>
            <a:round/>
          </a:ln>
          <a:effectLst/>
        </c:spPr>
        <c:marker>
          <c:symbol val="circle"/>
          <c:size val="17"/>
          <c:spPr>
            <a:solidFill>
              <a:schemeClr val="lt1"/>
            </a:solidFill>
            <a:ln>
              <a:noFill/>
              <a:prstDash val="sysDot"/>
            </a:ln>
            <a:effectLst/>
          </c:spPr>
        </c:marker>
        <c:dLbl>
          <c:idx val="0"/>
          <c:layout>
            <c:manualLayout>
              <c:x val="-5.6933744856383299E-2"/>
              <c:y val="7.53746334988900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Avenir Next Condensed" panose="020B0506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19050" cap="rnd" cmpd="sng" algn="ctr">
            <a:solidFill>
              <a:srgbClr val="F8CBAD"/>
            </a:solidFill>
            <a:prstDash val="sysDot"/>
            <a:round/>
          </a:ln>
          <a:effectLst/>
        </c:spPr>
        <c:marker>
          <c:symbol val="circle"/>
          <c:size val="17"/>
          <c:spPr>
            <a:solidFill>
              <a:schemeClr val="lt1"/>
            </a:solidFill>
            <a:ln>
              <a:noFill/>
              <a:prstDash val="sysDot"/>
            </a:ln>
            <a:effectLst/>
          </c:spPr>
        </c:marker>
        <c:dLbl>
          <c:idx val="0"/>
          <c:layout>
            <c:manualLayout>
              <c:x val="-5.3263876657520054E-2"/>
              <c:y val="-1.11545643866308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Avenir Next Condensed" panose="020B0506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19050" cap="rnd" cmpd="sng" algn="ctr">
            <a:solidFill>
              <a:srgbClr val="C5E0B5"/>
            </a:solidFill>
            <a:round/>
          </a:ln>
          <a:effectLst/>
        </c:spPr>
        <c:marker>
          <c:symbol val="circle"/>
          <c:size val="17"/>
          <c:spPr>
            <a:solidFill>
              <a:schemeClr val="lt1"/>
            </a:solidFill>
            <a:ln>
              <a:noFill/>
            </a:ln>
            <a:effectLst/>
          </c:spPr>
        </c:marker>
        <c:dLbl>
          <c:idx val="0"/>
          <c:layout>
            <c:manualLayout>
              <c:x val="-6.1527559055118107E-2"/>
              <c:y val="-1.48148148148148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Avenir Next Condensed" panose="020B0506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19050" cap="rnd" cmpd="sng" algn="ctr">
            <a:solidFill>
              <a:srgbClr val="F8CBAD"/>
            </a:solidFill>
            <a:prstDash val="sysDot"/>
            <a:round/>
          </a:ln>
          <a:effectLst/>
        </c:spPr>
        <c:marker>
          <c:symbol val="circle"/>
          <c:size val="17"/>
          <c:spPr>
            <a:solidFill>
              <a:schemeClr val="lt1"/>
            </a:solidFill>
            <a:ln>
              <a:noFill/>
              <a:prstDash val="sysDot"/>
            </a:ln>
            <a:effectLst/>
          </c:spPr>
        </c:marker>
        <c:dLbl>
          <c:idx val="0"/>
          <c:layout>
            <c:manualLayout>
              <c:x val="-6.1256952972621542E-2"/>
              <c:y val="1.48148148148148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Avenir Next Condensed" panose="020B0506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cap="rnd" cmpd="sng" algn="ctr">
            <a:solidFill>
              <a:schemeClr val="accent1">
                <a:shade val="95000"/>
                <a:satMod val="105000"/>
              </a:schemeClr>
            </a:solidFill>
            <a:round/>
          </a:ln>
          <a:effectLst/>
        </c:spPr>
        <c:marker>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venir Next Condensed" panose="020B0506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cap="rnd" cmpd="sng" algn="ctr">
            <a:solidFill>
              <a:schemeClr val="accent1">
                <a:shade val="95000"/>
                <a:satMod val="105000"/>
              </a:schemeClr>
            </a:solidFill>
            <a:round/>
          </a:ln>
          <a:effectLst/>
        </c:spPr>
        <c:marker>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venir Next Condensed" panose="020B0506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cap="rnd" cmpd="sng" algn="ctr">
            <a:solidFill>
              <a:schemeClr val="accent1">
                <a:shade val="95000"/>
                <a:satMod val="105000"/>
              </a:schemeClr>
            </a:solidFill>
            <a:round/>
          </a:ln>
          <a:effectLst/>
        </c:spPr>
        <c:marker>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Avenir Next Condensed" panose="020B0506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cap="rnd" cmpd="sng" algn="ctr">
            <a:solidFill>
              <a:schemeClr val="accent1">
                <a:shade val="95000"/>
                <a:satMod val="105000"/>
              </a:schemeClr>
            </a:solidFill>
            <a:round/>
          </a:ln>
          <a:effectLst/>
        </c:spPr>
        <c:marker>
          <c:spPr>
            <a:solidFill>
              <a:schemeClr val="l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65910568518379E-2"/>
          <c:y val="0.19603703703703704"/>
          <c:w val="0.88655060319294954"/>
          <c:h val="0.61851764362787998"/>
        </c:manualLayout>
      </c:layout>
      <c:lineChart>
        <c:grouping val="standard"/>
        <c:varyColors val="0"/>
        <c:ser>
          <c:idx val="0"/>
          <c:order val="0"/>
          <c:tx>
            <c:strRef>
              <c:f>pivot_tables!$B$28:$B$29</c:f>
              <c:strCache>
                <c:ptCount val="1"/>
                <c:pt idx="0">
                  <c:v>Expected</c:v>
                </c:pt>
              </c:strCache>
            </c:strRef>
          </c:tx>
          <c:spPr>
            <a:ln w="19050" cap="rnd" cmpd="sng" algn="ctr">
              <a:solidFill>
                <a:srgbClr val="F8CBAD"/>
              </a:solidFill>
              <a:prstDash val="sysDot"/>
              <a:round/>
            </a:ln>
            <a:effectLst/>
          </c:spPr>
          <c:marker>
            <c:symbol val="circle"/>
            <c:size val="17"/>
            <c:spPr>
              <a:solidFill>
                <a:schemeClr val="lt1"/>
              </a:solidFill>
              <a:ln>
                <a:noFill/>
                <a:prstDash val="sysDot"/>
              </a:ln>
              <a:effectLst/>
            </c:spPr>
          </c:marker>
          <c:dPt>
            <c:idx val="0"/>
            <c:marker>
              <c:symbol val="circle"/>
              <c:size val="17"/>
              <c:spPr>
                <a:solidFill>
                  <a:schemeClr val="lt1"/>
                </a:solidFill>
                <a:ln>
                  <a:noFill/>
                  <a:prstDash val="sysDot"/>
                </a:ln>
                <a:effectLst/>
              </c:spPr>
            </c:marker>
            <c:bubble3D val="0"/>
            <c:spPr>
              <a:ln w="19050" cap="rnd" cmpd="sng" algn="ctr">
                <a:solidFill>
                  <a:srgbClr val="F8CBAD"/>
                </a:solidFill>
                <a:prstDash val="sysDot"/>
                <a:round/>
              </a:ln>
              <a:effectLst/>
            </c:spPr>
            <c:extLst>
              <c:ext xmlns:c16="http://schemas.microsoft.com/office/drawing/2014/chart" uri="{C3380CC4-5D6E-409C-BE32-E72D297353CC}">
                <c16:uniqueId val="{00000001-7C0D-0D43-965E-E7D277985B50}"/>
              </c:ext>
            </c:extLst>
          </c:dPt>
          <c:dPt>
            <c:idx val="1"/>
            <c:marker>
              <c:symbol val="circle"/>
              <c:size val="17"/>
              <c:spPr>
                <a:solidFill>
                  <a:schemeClr val="lt1"/>
                </a:solidFill>
                <a:ln>
                  <a:noFill/>
                  <a:prstDash val="sysDot"/>
                </a:ln>
                <a:effectLst/>
              </c:spPr>
            </c:marker>
            <c:bubble3D val="0"/>
            <c:spPr>
              <a:ln w="19050" cap="rnd" cmpd="sng" algn="ctr">
                <a:solidFill>
                  <a:srgbClr val="F8CBAD"/>
                </a:solidFill>
                <a:prstDash val="sysDot"/>
                <a:round/>
              </a:ln>
              <a:effectLst/>
            </c:spPr>
            <c:extLst>
              <c:ext xmlns:c16="http://schemas.microsoft.com/office/drawing/2014/chart" uri="{C3380CC4-5D6E-409C-BE32-E72D297353CC}">
                <c16:uniqueId val="{00000003-7C0D-0D43-965E-E7D277985B50}"/>
              </c:ext>
            </c:extLst>
          </c:dPt>
          <c:dPt>
            <c:idx val="2"/>
            <c:marker>
              <c:symbol val="circle"/>
              <c:size val="17"/>
              <c:spPr>
                <a:solidFill>
                  <a:schemeClr val="lt1"/>
                </a:solidFill>
                <a:ln>
                  <a:noFill/>
                  <a:prstDash val="sysDot"/>
                </a:ln>
                <a:effectLst/>
              </c:spPr>
            </c:marker>
            <c:bubble3D val="0"/>
            <c:spPr>
              <a:ln w="19050" cap="rnd" cmpd="sng" algn="ctr">
                <a:solidFill>
                  <a:srgbClr val="F8CBAD"/>
                </a:solidFill>
                <a:prstDash val="sysDot"/>
                <a:round/>
              </a:ln>
              <a:effectLst/>
            </c:spPr>
            <c:extLst>
              <c:ext xmlns:c16="http://schemas.microsoft.com/office/drawing/2014/chart" uri="{C3380CC4-5D6E-409C-BE32-E72D297353CC}">
                <c16:uniqueId val="{00000005-7C0D-0D43-965E-E7D277985B50}"/>
              </c:ext>
            </c:extLst>
          </c:dPt>
          <c:dLbls>
            <c:dLbl>
              <c:idx val="0"/>
              <c:layout>
                <c:manualLayout>
                  <c:x val="-5.6933744856383299E-2"/>
                  <c:y val="7.53746334988900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0D-0D43-965E-E7D277985B50}"/>
                </c:ext>
              </c:extLst>
            </c:dLbl>
            <c:dLbl>
              <c:idx val="1"/>
              <c:layout>
                <c:manualLayout>
                  <c:x val="-5.3263876657520054E-2"/>
                  <c:y val="-1.11545643866308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0D-0D43-965E-E7D277985B50}"/>
                </c:ext>
              </c:extLst>
            </c:dLbl>
            <c:dLbl>
              <c:idx val="2"/>
              <c:layout>
                <c:manualLayout>
                  <c:x val="-6.1256952972621542E-2"/>
                  <c:y val="1.48148148148148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0D-0D43-965E-E7D277985B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Avenir Next Condensed" panose="020B0506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pivot_tables!$A$30:$A$43</c:f>
              <c:multiLvlStrCache>
                <c:ptCount val="11"/>
                <c:lvl>
                  <c:pt idx="0">
                    <c:v>August</c:v>
                  </c:pt>
                  <c:pt idx="1">
                    <c:v>September</c:v>
                  </c:pt>
                  <c:pt idx="2">
                    <c:v>October</c:v>
                  </c:pt>
                  <c:pt idx="3">
                    <c:v>November</c:v>
                  </c:pt>
                  <c:pt idx="4">
                    <c:v>December</c:v>
                  </c:pt>
                  <c:pt idx="5">
                    <c:v>January</c:v>
                  </c:pt>
                  <c:pt idx="6">
                    <c:v>February</c:v>
                  </c:pt>
                  <c:pt idx="7">
                    <c:v>March</c:v>
                  </c:pt>
                  <c:pt idx="8">
                    <c:v>April</c:v>
                  </c:pt>
                  <c:pt idx="9">
                    <c:v>May</c:v>
                  </c:pt>
                  <c:pt idx="10">
                    <c:v>June</c:v>
                  </c:pt>
                </c:lvl>
                <c:lvl>
                  <c:pt idx="0">
                    <c:v>2025</c:v>
                  </c:pt>
                  <c:pt idx="5">
                    <c:v>2026</c:v>
                  </c:pt>
                </c:lvl>
              </c:multiLvlStrCache>
            </c:multiLvlStrRef>
          </c:cat>
          <c:val>
            <c:numRef>
              <c:f>pivot_tables!$B$30:$B$43</c:f>
              <c:numCache>
                <c:formatCode>#.##0##" €"</c:formatCode>
                <c:ptCount val="11"/>
                <c:pt idx="0">
                  <c:v>1630</c:v>
                </c:pt>
                <c:pt idx="1">
                  <c:v>3635</c:v>
                </c:pt>
                <c:pt idx="2">
                  <c:v>2815</c:v>
                </c:pt>
                <c:pt idx="3">
                  <c:v>2856.5</c:v>
                </c:pt>
                <c:pt idx="4">
                  <c:v>1310</c:v>
                </c:pt>
                <c:pt idx="5">
                  <c:v>1000</c:v>
                </c:pt>
                <c:pt idx="6">
                  <c:v>1577.5</c:v>
                </c:pt>
                <c:pt idx="7">
                  <c:v>3215</c:v>
                </c:pt>
                <c:pt idx="8">
                  <c:v>3445</c:v>
                </c:pt>
                <c:pt idx="9">
                  <c:v>0</c:v>
                </c:pt>
                <c:pt idx="10">
                  <c:v>0</c:v>
                </c:pt>
              </c:numCache>
            </c:numRef>
          </c:val>
          <c:smooth val="0"/>
          <c:extLst>
            <c:ext xmlns:c16="http://schemas.microsoft.com/office/drawing/2014/chart" uri="{C3380CC4-5D6E-409C-BE32-E72D297353CC}">
              <c16:uniqueId val="{0000000B-C5A6-3C4A-8980-6F57DA1C3445}"/>
            </c:ext>
          </c:extLst>
        </c:ser>
        <c:ser>
          <c:idx val="1"/>
          <c:order val="1"/>
          <c:tx>
            <c:strRef>
              <c:f>pivot_tables!$C$28:$C$29</c:f>
              <c:strCache>
                <c:ptCount val="1"/>
                <c:pt idx="0">
                  <c:v>Paid</c:v>
                </c:pt>
              </c:strCache>
            </c:strRef>
          </c:tx>
          <c:spPr>
            <a:ln w="19050" cap="rnd" cmpd="sng" algn="ctr">
              <a:solidFill>
                <a:srgbClr val="C5E0B5"/>
              </a:solidFill>
              <a:round/>
            </a:ln>
            <a:effectLst/>
          </c:spPr>
          <c:marker>
            <c:symbol val="circle"/>
            <c:size val="17"/>
            <c:spPr>
              <a:solidFill>
                <a:schemeClr val="lt1"/>
              </a:solidFill>
              <a:ln>
                <a:noFill/>
              </a:ln>
              <a:effectLst/>
            </c:spPr>
          </c:marker>
          <c:dPt>
            <c:idx val="2"/>
            <c:marker>
              <c:symbol val="circle"/>
              <c:size val="17"/>
              <c:spPr>
                <a:solidFill>
                  <a:schemeClr val="lt1"/>
                </a:solidFill>
                <a:ln>
                  <a:noFill/>
                </a:ln>
                <a:effectLst/>
              </c:spPr>
            </c:marker>
            <c:bubble3D val="0"/>
            <c:spPr>
              <a:ln w="19050" cap="rnd" cmpd="sng" algn="ctr">
                <a:solidFill>
                  <a:srgbClr val="C5E0B5"/>
                </a:solidFill>
                <a:round/>
              </a:ln>
              <a:effectLst/>
            </c:spPr>
            <c:extLst>
              <c:ext xmlns:c16="http://schemas.microsoft.com/office/drawing/2014/chart" uri="{C3380CC4-5D6E-409C-BE32-E72D297353CC}">
                <c16:uniqueId val="{00000007-7C0D-0D43-965E-E7D277985B50}"/>
              </c:ext>
            </c:extLst>
          </c:dPt>
          <c:dLbls>
            <c:dLbl>
              <c:idx val="2"/>
              <c:layout>
                <c:manualLayout>
                  <c:x val="-6.1527559055118107E-2"/>
                  <c:y val="-1.48148148148148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0D-0D43-965E-E7D277985B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Avenir Next Condensed" panose="020B0506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pivot_tables!$A$30:$A$43</c:f>
              <c:multiLvlStrCache>
                <c:ptCount val="11"/>
                <c:lvl>
                  <c:pt idx="0">
                    <c:v>August</c:v>
                  </c:pt>
                  <c:pt idx="1">
                    <c:v>September</c:v>
                  </c:pt>
                  <c:pt idx="2">
                    <c:v>October</c:v>
                  </c:pt>
                  <c:pt idx="3">
                    <c:v>November</c:v>
                  </c:pt>
                  <c:pt idx="4">
                    <c:v>December</c:v>
                  </c:pt>
                  <c:pt idx="5">
                    <c:v>January</c:v>
                  </c:pt>
                  <c:pt idx="6">
                    <c:v>February</c:v>
                  </c:pt>
                  <c:pt idx="7">
                    <c:v>March</c:v>
                  </c:pt>
                  <c:pt idx="8">
                    <c:v>April</c:v>
                  </c:pt>
                  <c:pt idx="9">
                    <c:v>May</c:v>
                  </c:pt>
                  <c:pt idx="10">
                    <c:v>June</c:v>
                  </c:pt>
                </c:lvl>
                <c:lvl>
                  <c:pt idx="0">
                    <c:v>2025</c:v>
                  </c:pt>
                  <c:pt idx="5">
                    <c:v>2026</c:v>
                  </c:pt>
                </c:lvl>
              </c:multiLvlStrCache>
            </c:multiLvlStrRef>
          </c:cat>
          <c:val>
            <c:numRef>
              <c:f>pivot_tables!$C$30:$C$43</c:f>
              <c:numCache>
                <c:formatCode>#.##0##" €"</c:formatCode>
                <c:ptCount val="11"/>
                <c:pt idx="0">
                  <c:v>0</c:v>
                </c:pt>
                <c:pt idx="1">
                  <c:v>540</c:v>
                </c:pt>
                <c:pt idx="2">
                  <c:v>3053.88</c:v>
                </c:pt>
                <c:pt idx="3">
                  <c:v>3998</c:v>
                </c:pt>
                <c:pt idx="4">
                  <c:v>2835</c:v>
                </c:pt>
                <c:pt idx="5">
                  <c:v>1579.62</c:v>
                </c:pt>
                <c:pt idx="6">
                  <c:v>1000</c:v>
                </c:pt>
                <c:pt idx="7">
                  <c:v>1360</c:v>
                </c:pt>
                <c:pt idx="8">
                  <c:v>3955</c:v>
                </c:pt>
                <c:pt idx="9">
                  <c:v>0</c:v>
                </c:pt>
                <c:pt idx="10">
                  <c:v>0</c:v>
                </c:pt>
              </c:numCache>
            </c:numRef>
          </c:val>
          <c:smooth val="0"/>
          <c:extLst>
            <c:ext xmlns:c16="http://schemas.microsoft.com/office/drawing/2014/chart" uri="{C3380CC4-5D6E-409C-BE32-E72D297353CC}">
              <c16:uniqueId val="{00000013-C5A6-3C4A-8980-6F57DA1C3445}"/>
            </c:ext>
          </c:extLst>
        </c:ser>
        <c:dLbls>
          <c:dLblPos val="ctr"/>
          <c:showLegendKey val="0"/>
          <c:showVal val="1"/>
          <c:showCatName val="0"/>
          <c:showSerName val="0"/>
          <c:showPercent val="0"/>
          <c:showBubbleSize val="0"/>
        </c:dLbls>
        <c:marker val="1"/>
        <c:smooth val="0"/>
        <c:axId val="349279663"/>
        <c:axId val="1374149904"/>
      </c:lineChart>
      <c:catAx>
        <c:axId val="34927966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alpha val="43000"/>
              </a:schemeClr>
            </a:solidFill>
            <a:prstDash val="sysDot"/>
            <a:round/>
          </a:ln>
          <a:effectLst/>
        </c:spPr>
        <c:txPr>
          <a:bodyPr rot="-60000000" spcFirstLastPara="1" vertOverflow="ellipsis" vert="horz" wrap="square" anchor="ctr" anchorCtr="1"/>
          <a:lstStyle/>
          <a:p>
            <a:pPr>
              <a:defRPr sz="1200" b="1" i="0" u="none" strike="noStrike" kern="1200" baseline="0">
                <a:solidFill>
                  <a:schemeClr val="dk1">
                    <a:lumMod val="65000"/>
                    <a:lumOff val="35000"/>
                  </a:schemeClr>
                </a:solidFill>
                <a:latin typeface="Avenir Next Condensed" panose="020B0506020202020204" pitchFamily="34" charset="0"/>
                <a:ea typeface="+mn-ea"/>
                <a:cs typeface="+mn-cs"/>
              </a:defRPr>
            </a:pPr>
            <a:endParaRPr lang="en-US"/>
          </a:p>
        </c:txPr>
        <c:crossAx val="1374149904"/>
        <c:crosses val="autoZero"/>
        <c:auto val="1"/>
        <c:lblAlgn val="ctr"/>
        <c:lblOffset val="100"/>
        <c:noMultiLvlLbl val="0"/>
      </c:catAx>
      <c:valAx>
        <c:axId val="1374149904"/>
        <c:scaling>
          <c:orientation val="minMax"/>
        </c:scaling>
        <c:delete val="0"/>
        <c:axPos val="l"/>
        <c:majorGridlines>
          <c:spPr>
            <a:ln>
              <a:solidFill>
                <a:schemeClr val="dk1">
                  <a:lumMod val="15000"/>
                  <a:lumOff val="85000"/>
                  <a:alpha val="45000"/>
                </a:schemeClr>
              </a:solidFill>
              <a:prstDash val="sysDot"/>
            </a:ln>
            <a:effectLst/>
          </c:spPr>
        </c:majorGridlines>
        <c:numFmt formatCode="#.##0##&quot; €&quot;"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65000"/>
                    <a:lumOff val="35000"/>
                  </a:schemeClr>
                </a:solidFill>
                <a:latin typeface="Avenir Next Condensed" panose="020B0506020202020204" pitchFamily="34" charset="0"/>
                <a:ea typeface="+mn-ea"/>
                <a:cs typeface="+mn-cs"/>
              </a:defRPr>
            </a:pPr>
            <a:endParaRPr lang="en-US"/>
          </a:p>
        </c:txPr>
        <c:crossAx val="349279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dk1">
                  <a:lumMod val="65000"/>
                  <a:lumOff val="35000"/>
                </a:schemeClr>
              </a:solidFill>
              <a:latin typeface="Avenir Next Condense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latin typeface="Avenir Next Condensed" panose="020B0506020202020204"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[clubs_earning_details.xlsx]pivot_tables!PROJECTED_INCOME_PER_CLUB</c:name>
    <c:fmtId val="18"/>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GB" sz="2400" b="1">
                <a:solidFill>
                  <a:schemeClr val="tx1">
                    <a:lumMod val="75000"/>
                    <a:lumOff val="25000"/>
                  </a:schemeClr>
                </a:solidFill>
                <a:latin typeface="Avenir Next Condensed" panose="020B0506020202020204" pitchFamily="34" charset="0"/>
              </a:rPr>
              <a:t>PROJECTED INCOME PER CLUB</a:t>
            </a:r>
          </a:p>
        </c:rich>
      </c:tx>
      <c:layout>
        <c:manualLayout>
          <c:xMode val="edge"/>
          <c:yMode val="edge"/>
          <c:x val="5.5209380145822742E-3"/>
          <c:y val="2.306655862041347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40000"/>
              <a:lumOff val="60000"/>
            </a:schemeClr>
          </a:solidFill>
          <a:ln>
            <a:noFill/>
          </a:ln>
          <a:effectLst/>
        </c:spPr>
        <c:marker>
          <c:symbol val="none"/>
        </c:marker>
        <c:dLbl>
          <c:idx val="0"/>
          <c:numFmt formatCode="#.##0##&quot; €&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40000"/>
              <a:lumOff val="60000"/>
            </a:schemeClr>
          </a:solidFill>
          <a:ln w="0">
            <a:solidFill>
              <a:schemeClr val="bg1">
                <a:alpha val="0"/>
              </a:schemeClr>
            </a:solidFill>
          </a:ln>
          <a:effectLst>
            <a:glow>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venir Next Condensed" panose="020B0506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rgbClr val="F0C1E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numFmt formatCode="#.##0##&quot; €&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dLbl>
          <c:idx val="0"/>
          <c:numFmt formatCode="#.##0##&quot; €&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venir Next Condensed" panose="020B0506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lumMod val="40000"/>
              <a:lumOff val="60000"/>
            </a:schemeClr>
          </a:solidFill>
          <a:ln>
            <a:noFill/>
          </a:ln>
          <a:effectLst/>
        </c:spPr>
      </c:pivotFmt>
      <c:pivotFmt>
        <c:idx val="29"/>
        <c:spPr>
          <a:solidFill>
            <a:srgbClr val="C5E0B5"/>
          </a:solidFill>
          <a:ln>
            <a:noFill/>
          </a:ln>
          <a:effectLst/>
        </c:spPr>
      </c:pivotFmt>
      <c:pivotFmt>
        <c:idx val="30"/>
        <c:spPr>
          <a:solidFill>
            <a:srgbClr val="E6D9F7"/>
          </a:solidFill>
          <a:ln>
            <a:noFill/>
          </a:ln>
          <a:effectLst/>
        </c:spPr>
      </c:pivotFmt>
      <c:pivotFmt>
        <c:idx val="31"/>
        <c:spPr>
          <a:solidFill>
            <a:schemeClr val="accent2">
              <a:lumMod val="40000"/>
              <a:lumOff val="60000"/>
            </a:schemeClr>
          </a:solidFill>
          <a:ln>
            <a:noFill/>
          </a:ln>
          <a:effectLst/>
        </c:spPr>
      </c:pivotFmt>
      <c:pivotFmt>
        <c:idx val="32"/>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5E0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E6D9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C5E0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E6D9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5E0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E6D9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18155566375101E-2"/>
          <c:y val="0.14094414600044153"/>
          <c:w val="0.91863178104575161"/>
          <c:h val="0.71192711016263155"/>
        </c:manualLayout>
      </c:layout>
      <c:barChart>
        <c:barDir val="col"/>
        <c:grouping val="stacked"/>
        <c:varyColors val="0"/>
        <c:ser>
          <c:idx val="0"/>
          <c:order val="0"/>
          <c:tx>
            <c:strRef>
              <c:f>pivot_tables!$B$62:$B$63</c:f>
              <c:strCache>
                <c:ptCount val="1"/>
                <c:pt idx="0">
                  <c:v>Blue Warriors</c:v>
                </c:pt>
              </c:strCache>
            </c:strRef>
          </c:tx>
          <c:spPr>
            <a:solidFill>
              <a:schemeClr val="accent5">
                <a:lumMod val="40000"/>
                <a:lumOff val="60000"/>
              </a:schemeClr>
            </a:solidFill>
            <a:ln>
              <a:noFill/>
            </a:ln>
            <a:effectLst/>
          </c:spPr>
          <c:invertIfNegative val="0"/>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25-ABD5-744F-BFE4-706D621EBC1E}"/>
              </c:ext>
            </c:extLst>
          </c:dPt>
          <c:dLbls>
            <c:dLbl>
              <c:idx val="3"/>
              <c:delete val="1"/>
              <c:extLst>
                <c:ext xmlns:c15="http://schemas.microsoft.com/office/drawing/2012/chart" uri="{CE6537A1-D6FC-4f65-9D91-7224C49458BB}"/>
                <c:ext xmlns:c16="http://schemas.microsoft.com/office/drawing/2014/chart" uri="{C3380CC4-5D6E-409C-BE32-E72D297353CC}">
                  <c16:uniqueId val="{00000025-ABD5-744F-BFE4-706D621EBC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pivot_tables!$A$64:$A$70</c:f>
              <c:multiLvlStrCache>
                <c:ptCount val="5"/>
                <c:lvl>
                  <c:pt idx="0">
                    <c:v>April</c:v>
                  </c:pt>
                  <c:pt idx="1">
                    <c:v>May</c:v>
                  </c:pt>
                  <c:pt idx="2">
                    <c:v>June</c:v>
                  </c:pt>
                  <c:pt idx="3">
                    <c:v>July</c:v>
                  </c:pt>
                  <c:pt idx="4">
                    <c:v>August</c:v>
                  </c:pt>
                </c:lvl>
                <c:lvl>
                  <c:pt idx="0">
                    <c:v>2026</c:v>
                  </c:pt>
                </c:lvl>
              </c:multiLvlStrCache>
            </c:multiLvlStrRef>
          </c:cat>
          <c:val>
            <c:numRef>
              <c:f>pivot_tables!$B$64:$B$70</c:f>
              <c:numCache>
                <c:formatCode>#,##0.00\ [$€-80C]</c:formatCode>
                <c:ptCount val="5"/>
                <c:pt idx="1">
                  <c:v>1290</c:v>
                </c:pt>
                <c:pt idx="2">
                  <c:v>1290</c:v>
                </c:pt>
                <c:pt idx="3">
                  <c:v>0</c:v>
                </c:pt>
              </c:numCache>
            </c:numRef>
          </c:val>
          <c:extLst>
            <c:ext xmlns:c16="http://schemas.microsoft.com/office/drawing/2014/chart" uri="{C3380CC4-5D6E-409C-BE32-E72D297353CC}">
              <c16:uniqueId val="{00000014-ABD5-744F-BFE4-706D621EBC1E}"/>
            </c:ext>
          </c:extLst>
        </c:ser>
        <c:ser>
          <c:idx val="1"/>
          <c:order val="1"/>
          <c:tx>
            <c:strRef>
              <c:f>pivot_tables!$C$62:$C$63</c:f>
              <c:strCache>
                <c:ptCount val="1"/>
                <c:pt idx="0">
                  <c:v>Emerald Demons</c:v>
                </c:pt>
              </c:strCache>
            </c:strRef>
          </c:tx>
          <c:spPr>
            <a:solidFill>
              <a:srgbClr val="C5E0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pivot_tables!$A$64:$A$70</c:f>
              <c:multiLvlStrCache>
                <c:ptCount val="5"/>
                <c:lvl>
                  <c:pt idx="0">
                    <c:v>April</c:v>
                  </c:pt>
                  <c:pt idx="1">
                    <c:v>May</c:v>
                  </c:pt>
                  <c:pt idx="2">
                    <c:v>June</c:v>
                  </c:pt>
                  <c:pt idx="3">
                    <c:v>July</c:v>
                  </c:pt>
                  <c:pt idx="4">
                    <c:v>August</c:v>
                  </c:pt>
                </c:lvl>
                <c:lvl>
                  <c:pt idx="0">
                    <c:v>2026</c:v>
                  </c:pt>
                </c:lvl>
              </c:multiLvlStrCache>
            </c:multiLvlStrRef>
          </c:cat>
          <c:val>
            <c:numRef>
              <c:f>pivot_tables!$C$64:$C$70</c:f>
              <c:numCache>
                <c:formatCode>#,##0.00\ [$€-80C]</c:formatCode>
                <c:ptCount val="5"/>
                <c:pt idx="1">
                  <c:v>1560</c:v>
                </c:pt>
                <c:pt idx="2">
                  <c:v>1262.5</c:v>
                </c:pt>
                <c:pt idx="3">
                  <c:v>1000</c:v>
                </c:pt>
              </c:numCache>
            </c:numRef>
          </c:val>
          <c:extLst>
            <c:ext xmlns:c16="http://schemas.microsoft.com/office/drawing/2014/chart" uri="{C3380CC4-5D6E-409C-BE32-E72D297353CC}">
              <c16:uniqueId val="{00000026-ABD5-744F-BFE4-706D621EBC1E}"/>
            </c:ext>
          </c:extLst>
        </c:ser>
        <c:ser>
          <c:idx val="2"/>
          <c:order val="2"/>
          <c:tx>
            <c:strRef>
              <c:f>pivot_tables!$D$62:$D$63</c:f>
              <c:strCache>
                <c:ptCount val="1"/>
                <c:pt idx="0">
                  <c:v>Orange Titans</c:v>
                </c:pt>
              </c:strCache>
            </c:strRef>
          </c:tx>
          <c:spPr>
            <a:solidFill>
              <a:schemeClr val="accent2">
                <a:lumMod val="40000"/>
                <a:lumOff val="60000"/>
              </a:schemeClr>
            </a:solidFill>
            <a:ln>
              <a:noFill/>
            </a:ln>
            <a:effectLst/>
          </c:spPr>
          <c:invertIfNegative val="0"/>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0-7356-8947-821F-C0CCEF2691B2}"/>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7356-8947-821F-C0CCEF2691B2}"/>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7356-8947-821F-C0CCEF2691B2}"/>
              </c:ext>
            </c:extLst>
          </c:dPt>
          <c:dLbls>
            <c:dLbl>
              <c:idx val="2"/>
              <c:delete val="1"/>
              <c:extLst>
                <c:ext xmlns:c15="http://schemas.microsoft.com/office/drawing/2012/chart" uri="{CE6537A1-D6FC-4f65-9D91-7224C49458BB}"/>
                <c:ext xmlns:c16="http://schemas.microsoft.com/office/drawing/2014/chart" uri="{C3380CC4-5D6E-409C-BE32-E72D297353CC}">
                  <c16:uniqueId val="{00000000-7356-8947-821F-C0CCEF2691B2}"/>
                </c:ext>
              </c:extLst>
            </c:dLbl>
            <c:dLbl>
              <c:idx val="3"/>
              <c:delete val="1"/>
              <c:extLst>
                <c:ext xmlns:c15="http://schemas.microsoft.com/office/drawing/2012/chart" uri="{CE6537A1-D6FC-4f65-9D91-7224C49458BB}"/>
                <c:ext xmlns:c16="http://schemas.microsoft.com/office/drawing/2014/chart" uri="{C3380CC4-5D6E-409C-BE32-E72D297353CC}">
                  <c16:uniqueId val="{00000001-7356-8947-821F-C0CCEF2691B2}"/>
                </c:ext>
              </c:extLst>
            </c:dLbl>
            <c:dLbl>
              <c:idx val="4"/>
              <c:delete val="1"/>
              <c:extLst>
                <c:ext xmlns:c15="http://schemas.microsoft.com/office/drawing/2012/chart" uri="{CE6537A1-D6FC-4f65-9D91-7224C49458BB}"/>
                <c:ext xmlns:c16="http://schemas.microsoft.com/office/drawing/2014/chart" uri="{C3380CC4-5D6E-409C-BE32-E72D297353CC}">
                  <c16:uniqueId val="{00000002-7356-8947-821F-C0CCEF2691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pivot_tables!$A$64:$A$70</c:f>
              <c:multiLvlStrCache>
                <c:ptCount val="5"/>
                <c:lvl>
                  <c:pt idx="0">
                    <c:v>April</c:v>
                  </c:pt>
                  <c:pt idx="1">
                    <c:v>May</c:v>
                  </c:pt>
                  <c:pt idx="2">
                    <c:v>June</c:v>
                  </c:pt>
                  <c:pt idx="3">
                    <c:v>July</c:v>
                  </c:pt>
                  <c:pt idx="4">
                    <c:v>August</c:v>
                  </c:pt>
                </c:lvl>
                <c:lvl>
                  <c:pt idx="0">
                    <c:v>2026</c:v>
                  </c:pt>
                </c:lvl>
              </c:multiLvlStrCache>
            </c:multiLvlStrRef>
          </c:cat>
          <c:val>
            <c:numRef>
              <c:f>pivot_tables!$D$64:$D$70</c:f>
              <c:numCache>
                <c:formatCode>#,##0.00\ [$€-80C]</c:formatCode>
                <c:ptCount val="5"/>
                <c:pt idx="0">
                  <c:v>360</c:v>
                </c:pt>
                <c:pt idx="1">
                  <c:v>360</c:v>
                </c:pt>
                <c:pt idx="2">
                  <c:v>0</c:v>
                </c:pt>
                <c:pt idx="3">
                  <c:v>0</c:v>
                </c:pt>
              </c:numCache>
            </c:numRef>
          </c:val>
          <c:extLst>
            <c:ext xmlns:c16="http://schemas.microsoft.com/office/drawing/2014/chart" uri="{C3380CC4-5D6E-409C-BE32-E72D297353CC}">
              <c16:uniqueId val="{00000027-ABD5-744F-BFE4-706D621EBC1E}"/>
            </c:ext>
          </c:extLst>
        </c:ser>
        <c:ser>
          <c:idx val="3"/>
          <c:order val="3"/>
          <c:tx>
            <c:strRef>
              <c:f>pivot_tables!$E$62:$E$63</c:f>
              <c:strCache>
                <c:ptCount val="1"/>
                <c:pt idx="0">
                  <c:v>PHX Hockey</c:v>
                </c:pt>
              </c:strCache>
            </c:strRef>
          </c:tx>
          <c:spPr>
            <a:solidFill>
              <a:srgbClr val="E6D9F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pivot_tables!$A$64:$A$70</c:f>
              <c:multiLvlStrCache>
                <c:ptCount val="5"/>
                <c:lvl>
                  <c:pt idx="0">
                    <c:v>April</c:v>
                  </c:pt>
                  <c:pt idx="1">
                    <c:v>May</c:v>
                  </c:pt>
                  <c:pt idx="2">
                    <c:v>June</c:v>
                  </c:pt>
                  <c:pt idx="3">
                    <c:v>July</c:v>
                  </c:pt>
                  <c:pt idx="4">
                    <c:v>August</c:v>
                  </c:pt>
                </c:lvl>
                <c:lvl>
                  <c:pt idx="0">
                    <c:v>2026</c:v>
                  </c:pt>
                </c:lvl>
              </c:multiLvlStrCache>
            </c:multiLvlStrRef>
          </c:cat>
          <c:val>
            <c:numRef>
              <c:f>pivot_tables!$E$64:$E$70</c:f>
              <c:numCache>
                <c:formatCode>#,##0.00\ [$€-80C]</c:formatCode>
                <c:ptCount val="5"/>
                <c:pt idx="3">
                  <c:v>2275</c:v>
                </c:pt>
                <c:pt idx="4">
                  <c:v>2875</c:v>
                </c:pt>
              </c:numCache>
            </c:numRef>
          </c:val>
          <c:extLst>
            <c:ext xmlns:c16="http://schemas.microsoft.com/office/drawing/2014/chart" uri="{C3380CC4-5D6E-409C-BE32-E72D297353CC}">
              <c16:uniqueId val="{00000028-ABD5-744F-BFE4-706D621EBC1E}"/>
            </c:ext>
          </c:extLst>
        </c:ser>
        <c:dLbls>
          <c:showLegendKey val="0"/>
          <c:showVal val="0"/>
          <c:showCatName val="0"/>
          <c:showSerName val="0"/>
          <c:showPercent val="0"/>
          <c:showBubbleSize val="0"/>
        </c:dLbls>
        <c:gapWidth val="72"/>
        <c:overlap val="100"/>
        <c:axId val="1672390704"/>
        <c:axId val="75041312"/>
      </c:barChart>
      <c:catAx>
        <c:axId val="167239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alpha val="85000"/>
              </a:schemeClr>
            </a:solidFill>
            <a:prstDash val="sysDot"/>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venir Next Condensed" panose="020B0506020202020204" pitchFamily="34" charset="0"/>
                <a:ea typeface="+mn-ea"/>
                <a:cs typeface="+mn-cs"/>
              </a:defRPr>
            </a:pPr>
            <a:endParaRPr lang="en-US"/>
          </a:p>
        </c:txPr>
        <c:crossAx val="75041312"/>
        <c:crosses val="autoZero"/>
        <c:auto val="1"/>
        <c:lblAlgn val="ctr"/>
        <c:lblOffset val="100"/>
        <c:noMultiLvlLbl val="0"/>
      </c:catAx>
      <c:valAx>
        <c:axId val="75041312"/>
        <c:scaling>
          <c:orientation val="minMax"/>
          <c:max val="4000"/>
          <c:min val="0"/>
        </c:scaling>
        <c:delete val="0"/>
        <c:axPos val="l"/>
        <c:majorGridlines>
          <c:spPr>
            <a:ln w="9525" cap="flat" cmpd="sng" algn="ctr">
              <a:solidFill>
                <a:schemeClr val="tx1">
                  <a:lumMod val="15000"/>
                  <a:lumOff val="85000"/>
                  <a:alpha val="49000"/>
                </a:schemeClr>
              </a:solidFill>
              <a:prstDash val="sysDot"/>
              <a:round/>
            </a:ln>
            <a:effectLst/>
          </c:spPr>
        </c:majorGridlines>
        <c:numFmt formatCode="#,##0.00\ [$€-80C]" sourceLinked="1"/>
        <c:majorTickMark val="none"/>
        <c:minorTickMark val="none"/>
        <c:tickLblPos val="nextTo"/>
        <c:spPr>
          <a:noFill/>
          <a:ln>
            <a:solidFill>
              <a:schemeClr val="tx1">
                <a:lumMod val="15000"/>
                <a:lumOff val="85000"/>
              </a:schemeClr>
            </a:solidFill>
            <a:prstDash val="sysDot"/>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venir Next Condensed" panose="020B0506020202020204" pitchFamily="34" charset="0"/>
                <a:ea typeface="+mn-ea"/>
                <a:cs typeface="+mn-cs"/>
              </a:defRPr>
            </a:pPr>
            <a:endParaRPr lang="en-US"/>
          </a:p>
        </c:txPr>
        <c:crossAx val="1672390704"/>
        <c:crosses val="autoZero"/>
        <c:crossBetween val="between"/>
      </c:valAx>
      <c:spPr>
        <a:noFill/>
        <a:ln>
          <a:noFill/>
          <a:prstDash val="sysDot"/>
        </a:ln>
        <a:effectLst/>
      </c:spPr>
    </c:plotArea>
    <c:plotVisOnly val="1"/>
    <c:dispBlanksAs val="gap"/>
    <c:showDLblsOverMax val="0"/>
    <c:extLst/>
  </c:chart>
  <c:spPr>
    <a:solidFill>
      <a:schemeClr val="bg1"/>
    </a:solidFill>
    <a:ln w="9525" cap="rnd" cmpd="sng" algn="ctr">
      <a:noFill/>
      <a:round/>
    </a:ln>
    <a:effectLst>
      <a:softEdge rad="0"/>
    </a:effectLst>
    <a:scene3d>
      <a:camera prst="orthographicFront"/>
      <a:lightRig rig="threePt" dir="t"/>
    </a:scene3d>
    <a:sp3d prstMaterial="powder"/>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4232</xdr:colOff>
      <xdr:row>22</xdr:row>
      <xdr:rowOff>62439</xdr:rowOff>
    </xdr:from>
    <xdr:to>
      <xdr:col>16</xdr:col>
      <xdr:colOff>211666</xdr:colOff>
      <xdr:row>45</xdr:row>
      <xdr:rowOff>0</xdr:rowOff>
    </xdr:to>
    <xdr:graphicFrame macro="">
      <xdr:nvGraphicFramePr>
        <xdr:cNvPr id="2" name="payment_per_club">
          <a:extLst>
            <a:ext uri="{FF2B5EF4-FFF2-40B4-BE49-F238E27FC236}">
              <a16:creationId xmlns:a16="http://schemas.microsoft.com/office/drawing/2014/main" id="{989A74F3-12C7-454F-AF9A-FF28C1D9B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463021</xdr:colOff>
      <xdr:row>2</xdr:row>
      <xdr:rowOff>615421</xdr:rowOff>
    </xdr:from>
    <xdr:to>
      <xdr:col>12</xdr:col>
      <xdr:colOff>1768475</xdr:colOff>
      <xdr:row>20</xdr:row>
      <xdr:rowOff>218546</xdr:rowOff>
    </xdr:to>
    <xdr:graphicFrame macro="">
      <xdr:nvGraphicFramePr>
        <xdr:cNvPr id="10" name="DETAILS">
          <a:extLst>
            <a:ext uri="{FF2B5EF4-FFF2-40B4-BE49-F238E27FC236}">
              <a16:creationId xmlns:a16="http://schemas.microsoft.com/office/drawing/2014/main" id="{63EA4FC6-B87A-8944-B662-0BF203814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132291</xdr:colOff>
      <xdr:row>2</xdr:row>
      <xdr:rowOff>615422</xdr:rowOff>
    </xdr:from>
    <xdr:to>
      <xdr:col>20</xdr:col>
      <xdr:colOff>2182813</xdr:colOff>
      <xdr:row>20</xdr:row>
      <xdr:rowOff>218547</xdr:rowOff>
    </xdr:to>
    <xdr:graphicFrame macro="">
      <xdr:nvGraphicFramePr>
        <xdr:cNvPr id="18" name="SALARY">
          <a:extLst>
            <a:ext uri="{FF2B5EF4-FFF2-40B4-BE49-F238E27FC236}">
              <a16:creationId xmlns:a16="http://schemas.microsoft.com/office/drawing/2014/main" id="{72FCF440-2F4A-BA4B-9B21-BA1DF8C95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278342</xdr:colOff>
      <xdr:row>29</xdr:row>
      <xdr:rowOff>158223</xdr:rowOff>
    </xdr:from>
    <xdr:to>
      <xdr:col>2</xdr:col>
      <xdr:colOff>2103438</xdr:colOff>
      <xdr:row>45</xdr:row>
      <xdr:rowOff>110067</xdr:rowOff>
    </xdr:to>
    <mc:AlternateContent xmlns:mc="http://schemas.openxmlformats.org/markup-compatibility/2006">
      <mc:Choice xmlns:a14="http://schemas.microsoft.com/office/drawing/2010/main" Requires="a14">
        <xdr:graphicFrame macro="">
          <xdr:nvGraphicFramePr>
            <xdr:cNvPr id="3" name="Month 1">
              <a:extLst>
                <a:ext uri="{FF2B5EF4-FFF2-40B4-BE49-F238E27FC236}">
                  <a16:creationId xmlns:a16="http://schemas.microsoft.com/office/drawing/2014/main" id="{2CF62D39-0F69-C348-BB32-00D9D0ACB9A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76780" y="8029577"/>
              <a:ext cx="3081866" cy="37618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291043</xdr:colOff>
      <xdr:row>22</xdr:row>
      <xdr:rowOff>150812</xdr:rowOff>
    </xdr:from>
    <xdr:to>
      <xdr:col>2</xdr:col>
      <xdr:colOff>2090209</xdr:colOff>
      <xdr:row>28</xdr:row>
      <xdr:rowOff>238124</xdr:rowOff>
    </xdr:to>
    <mc:AlternateContent xmlns:mc="http://schemas.openxmlformats.org/markup-compatibility/2006">
      <mc:Choice xmlns:a14="http://schemas.microsoft.com/office/drawing/2010/main" Requires="a14">
        <xdr:graphicFrame macro="">
          <xdr:nvGraphicFramePr>
            <xdr:cNvPr id="4" name="Club 1">
              <a:extLst>
                <a:ext uri="{FF2B5EF4-FFF2-40B4-BE49-F238E27FC236}">
                  <a16:creationId xmlns:a16="http://schemas.microsoft.com/office/drawing/2014/main" id="{B1F90040-7A7B-844D-B27C-BDE5EBD400B1}"/>
                </a:ext>
              </a:extLst>
            </xdr:cNvPr>
            <xdr:cNvGraphicFramePr/>
          </xdr:nvGraphicFramePr>
          <xdr:xfrm>
            <a:off x="0" y="0"/>
            <a:ext cx="0" cy="0"/>
          </xdr:xfrm>
          <a:graphic>
            <a:graphicData uri="http://schemas.microsoft.com/office/drawing/2010/slicer">
              <sle:slicer xmlns:sle="http://schemas.microsoft.com/office/drawing/2010/slicer" name="Club 1"/>
            </a:graphicData>
          </a:graphic>
        </xdr:graphicFrame>
      </mc:Choice>
      <mc:Fallback>
        <xdr:sp macro="" textlink="">
          <xdr:nvSpPr>
            <xdr:cNvPr id="0" name=""/>
            <xdr:cNvSpPr>
              <a:spLocks noTextEdit="1"/>
            </xdr:cNvSpPr>
          </xdr:nvSpPr>
          <xdr:spPr>
            <a:xfrm>
              <a:off x="489481" y="6355291"/>
              <a:ext cx="3055936" cy="15160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294746</xdr:colOff>
      <xdr:row>17</xdr:row>
      <xdr:rowOff>205316</xdr:rowOff>
    </xdr:from>
    <xdr:to>
      <xdr:col>2</xdr:col>
      <xdr:colOff>2116667</xdr:colOff>
      <xdr:row>22</xdr:row>
      <xdr:rowOff>52388</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E6085F89-055D-4F4E-B572-E9CF5310C00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93184" y="5325004"/>
              <a:ext cx="3078691" cy="9318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595311</xdr:colOff>
      <xdr:row>21</xdr:row>
      <xdr:rowOff>237594</xdr:rowOff>
    </xdr:from>
    <xdr:to>
      <xdr:col>21</xdr:col>
      <xdr:colOff>16931</xdr:colOff>
      <xdr:row>45</xdr:row>
      <xdr:rowOff>0</xdr:rowOff>
    </xdr:to>
    <xdr:graphicFrame macro="">
      <xdr:nvGraphicFramePr>
        <xdr:cNvPr id="6" name="Chart 5">
          <a:extLst>
            <a:ext uri="{FF2B5EF4-FFF2-40B4-BE49-F238E27FC236}">
              <a16:creationId xmlns:a16="http://schemas.microsoft.com/office/drawing/2014/main" id="{5A7D2540-DE33-D84A-8D6E-FC6639A36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0.00312</cdr:x>
      <cdr:y>0.08557</cdr:y>
    </cdr:from>
    <cdr:to>
      <cdr:x>0.97717</cdr:x>
      <cdr:y>0.08557</cdr:y>
    </cdr:to>
    <cdr:cxnSp macro="">
      <cdr:nvCxnSpPr>
        <cdr:cNvPr id="3" name="Straight Connector 2">
          <a:extLst xmlns:a="http://schemas.openxmlformats.org/drawingml/2006/main">
            <a:ext uri="{FF2B5EF4-FFF2-40B4-BE49-F238E27FC236}">
              <a16:creationId xmlns:a16="http://schemas.microsoft.com/office/drawing/2014/main" id="{9ED41658-4E71-DB97-BD3A-9EFFB521DF16}"/>
            </a:ext>
          </a:extLst>
        </cdr:cNvPr>
        <cdr:cNvCxnSpPr/>
      </cdr:nvCxnSpPr>
      <cdr:spPr>
        <a:xfrm xmlns:a="http://schemas.openxmlformats.org/drawingml/2006/main">
          <a:off x="35766" y="465107"/>
          <a:ext cx="11158132" cy="0"/>
        </a:xfrm>
        <a:prstGeom xmlns:a="http://schemas.openxmlformats.org/drawingml/2006/main" prst="line">
          <a:avLst/>
        </a:prstGeom>
        <a:ln xmlns:a="http://schemas.openxmlformats.org/drawingml/2006/main">
          <a:solidFill>
            <a:schemeClr val="bg1">
              <a:lumMod val="65000"/>
            </a:schemeClr>
          </a:solidFill>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0.03235</cdr:x>
      <cdr:y>0.14665</cdr:y>
    </cdr:from>
    <cdr:to>
      <cdr:x>0.96176</cdr:x>
      <cdr:y>0.14665</cdr:y>
    </cdr:to>
    <cdr:cxnSp macro="">
      <cdr:nvCxnSpPr>
        <cdr:cNvPr id="3" name="Straight Connector 2">
          <a:extLst xmlns:a="http://schemas.openxmlformats.org/drawingml/2006/main">
            <a:ext uri="{FF2B5EF4-FFF2-40B4-BE49-F238E27FC236}">
              <a16:creationId xmlns:a16="http://schemas.microsoft.com/office/drawing/2014/main" id="{F5764353-2E11-D1ED-99C7-9BFF668E982E}"/>
            </a:ext>
          </a:extLst>
        </cdr:cNvPr>
        <cdr:cNvCxnSpPr/>
      </cdr:nvCxnSpPr>
      <cdr:spPr>
        <a:xfrm xmlns:a="http://schemas.openxmlformats.org/drawingml/2006/main">
          <a:off x="125730" y="499145"/>
          <a:ext cx="3611880" cy="0"/>
        </a:xfrm>
        <a:prstGeom xmlns:a="http://schemas.openxmlformats.org/drawingml/2006/main" prst="line">
          <a:avLst/>
        </a:prstGeom>
        <a:ln xmlns:a="http://schemas.openxmlformats.org/drawingml/2006/main">
          <a:solidFill>
            <a:schemeClr val="bg1">
              <a:lumMod val="6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0.37241</cdr:x>
      <cdr:y>0.42972</cdr:y>
    </cdr:from>
    <cdr:to>
      <cdr:x>0.62069</cdr:x>
      <cdr:y>0.71888</cdr:y>
    </cdr:to>
    <cdr:sp macro="" textlink="">
      <cdr:nvSpPr>
        <cdr:cNvPr id="2" name="TextBox 1">
          <a:extLst xmlns:a="http://schemas.openxmlformats.org/drawingml/2006/main">
            <a:ext uri="{FF2B5EF4-FFF2-40B4-BE49-F238E27FC236}">
              <a16:creationId xmlns:a16="http://schemas.microsoft.com/office/drawing/2014/main" id="{4510158F-6173-8196-BF7A-26E4F9818E92}"/>
            </a:ext>
          </a:extLst>
        </cdr:cNvPr>
        <cdr:cNvSpPr txBox="1"/>
      </cdr:nvSpPr>
      <cdr:spPr>
        <a:xfrm xmlns:a="http://schemas.openxmlformats.org/drawingml/2006/main">
          <a:off x="1371600" y="1358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0.02074</cdr:x>
      <cdr:y>0.14622</cdr:y>
    </cdr:from>
    <cdr:to>
      <cdr:x>0.97854</cdr:x>
      <cdr:y>0.14622</cdr:y>
    </cdr:to>
    <cdr:cxnSp macro="">
      <cdr:nvCxnSpPr>
        <cdr:cNvPr id="3" name="Straight Connector 2">
          <a:extLst xmlns:a="http://schemas.openxmlformats.org/drawingml/2006/main">
            <a:ext uri="{FF2B5EF4-FFF2-40B4-BE49-F238E27FC236}">
              <a16:creationId xmlns:a16="http://schemas.microsoft.com/office/drawing/2014/main" id="{2EF6965F-AC1A-A759-82E8-AD77BF933CF6}"/>
            </a:ext>
          </a:extLst>
        </cdr:cNvPr>
        <cdr:cNvCxnSpPr/>
      </cdr:nvCxnSpPr>
      <cdr:spPr>
        <a:xfrm xmlns:a="http://schemas.openxmlformats.org/drawingml/2006/main">
          <a:off x="196535" y="492098"/>
          <a:ext cx="9074372" cy="0"/>
        </a:xfrm>
        <a:prstGeom xmlns:a="http://schemas.openxmlformats.org/drawingml/2006/main" prst="line">
          <a:avLst/>
        </a:prstGeom>
        <a:ln xmlns:a="http://schemas.openxmlformats.org/drawingml/2006/main">
          <a:solidFill>
            <a:schemeClr val="bg1">
              <a:lumMod val="6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0.00312</cdr:x>
      <cdr:y>0.09534</cdr:y>
    </cdr:from>
    <cdr:to>
      <cdr:x>0.97717</cdr:x>
      <cdr:y>0.09534</cdr:y>
    </cdr:to>
    <cdr:cxnSp macro="">
      <cdr:nvCxnSpPr>
        <cdr:cNvPr id="4" name="Straight Connector 2">
          <a:extLst xmlns:a="http://schemas.openxmlformats.org/drawingml/2006/main">
            <a:ext uri="{FF2B5EF4-FFF2-40B4-BE49-F238E27FC236}">
              <a16:creationId xmlns:a16="http://schemas.microsoft.com/office/drawing/2014/main" id="{9ED41658-4E71-DB97-BD3A-9EFFB521DF16}"/>
            </a:ext>
          </a:extLst>
        </cdr:cNvPr>
        <cdr:cNvCxnSpPr/>
      </cdr:nvCxnSpPr>
      <cdr:spPr>
        <a:xfrm xmlns:a="http://schemas.openxmlformats.org/drawingml/2006/main">
          <a:off x="28287" y="516591"/>
          <a:ext cx="8830944" cy="0"/>
        </a:xfrm>
        <a:prstGeom xmlns:a="http://schemas.openxmlformats.org/drawingml/2006/main" prst="line">
          <a:avLst/>
        </a:prstGeom>
        <a:ln xmlns:a="http://schemas.openxmlformats.org/drawingml/2006/main">
          <a:solidFill>
            <a:schemeClr val="bg1">
              <a:lumMod val="65000"/>
            </a:schemeClr>
          </a:solidFill>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crosoft Office User" refreshedDate="46137.292558333334" createdVersion="8" refreshedVersion="8" minRefreshableVersion="3" recordCount="62" xr:uid="{92359BEA-4897-A44A-BE01-3AF2404FE3E9}">
  <cacheSource type="worksheet">
    <worksheetSource name="Final"/>
  </cacheSource>
  <cacheFields count="14">
    <cacheField name="Year_Month_Text" numFmtId="0">
      <sharedItems/>
    </cacheField>
    <cacheField name="Year_Month" numFmtId="0">
      <sharedItems containsSemiMixedTypes="0" containsString="0" containsNumber="1" containsInteger="1" minValue="202508" maxValue="202608"/>
    </cacheField>
    <cacheField name="Year" numFmtId="0">
      <sharedItems containsSemiMixedTypes="0" containsString="0" containsNumber="1" containsInteger="1" minValue="2025" maxValue="2026" count="2">
        <n v="2025"/>
        <n v="2026"/>
      </sharedItems>
    </cacheField>
    <cacheField name="Month Number" numFmtId="0">
      <sharedItems containsSemiMixedTypes="0" containsString="0" containsNumber="1" containsInteger="1" minValue="1" maxValue="12"/>
    </cacheField>
    <cacheField name="Month" numFmtId="0">
      <sharedItems containsBlank="1" count="13">
        <s v="August"/>
        <s v="September"/>
        <s v="October"/>
        <s v="November"/>
        <s v="December"/>
        <s v="January"/>
        <s v="February"/>
        <s v="March"/>
        <s v="April"/>
        <s v="May"/>
        <s v="June"/>
        <s v="July"/>
        <m u="1"/>
      </sharedItems>
    </cacheField>
    <cacheField name="Date" numFmtId="14">
      <sharedItems containsSemiMixedTypes="0" containsNonDate="0" containsDate="1" containsString="0" minDate="2025-08-31T00:00:00" maxDate="2026-09-01T00:00:00"/>
    </cacheField>
    <cacheField name="Quantity" numFmtId="0">
      <sharedItems containsString="0" containsBlank="1" containsNumber="1" minValue="0" maxValue="43"/>
    </cacheField>
    <cacheField name="Category" numFmtId="0">
      <sharedItems/>
    </cacheField>
    <cacheField name="Type" numFmtId="0">
      <sharedItems containsBlank="1" count="4">
        <s v="Expected"/>
        <s v="Paid"/>
        <s v="Estimated"/>
        <m u="1"/>
      </sharedItems>
    </cacheField>
    <cacheField name="Club" numFmtId="0">
      <sharedItems containsBlank="1" count="9">
        <s v="Blue Warriors"/>
        <s v="Emerald Demons"/>
        <s v="Orange Titans"/>
        <s v="PHX Hockey"/>
        <s v="Blue Lions" u="1"/>
        <s v="Green Devils" u="1"/>
        <s v="La Rasante" u="1"/>
        <s v="B-Hockey" u="1"/>
        <m u="1"/>
      </sharedItems>
    </cacheField>
    <cacheField name="Amount" numFmtId="0">
      <sharedItems containsSemiMixedTypes="0" containsString="0" containsNumber="1" minValue="-2430" maxValue="2875" count="42">
        <n v="90"/>
        <n v="1000"/>
        <n v="540"/>
        <n v="1252.5"/>
        <n v="1542.5"/>
        <n v="840"/>
        <n v="-540"/>
        <n v="1087.5"/>
        <n v="1367.5"/>
        <n v="360"/>
        <n v="-713.88"/>
        <n v="-1000"/>
        <n v="-500"/>
        <n v="-840"/>
        <n v="915"/>
        <n v="1521.5"/>
        <n v="420"/>
        <n v="-2430"/>
        <n v="-1208"/>
        <n v="-360"/>
        <n v="240"/>
        <n v="1070"/>
        <n v="0"/>
        <n v="-915"/>
        <n v="-1500"/>
        <n v="-420"/>
        <n v="-579.62"/>
        <n v="165"/>
        <n v="1052.5"/>
        <n v="937.5"/>
        <n v="1437.5"/>
        <n v="645"/>
        <n v="1175"/>
        <n v="1625"/>
        <n v="-490"/>
        <n v="-750"/>
        <n v="-875"/>
        <n v="1290"/>
        <n v="1560"/>
        <n v="1262.5"/>
        <n v="2275"/>
        <n v="2875"/>
      </sharedItems>
    </cacheField>
    <cacheField name="Paid Positive" numFmtId="0" formula="ABS(Amount)" databaseField="0"/>
    <cacheField name="paid_positive" numFmtId="0" formula="ABS(Amount)" databaseField="0"/>
    <cacheField name="Field1" numFmtId="0" formula="'Paid Positive'" databaseField="0"/>
  </cacheFields>
  <extLst>
    <ext xmlns:x14="http://schemas.microsoft.com/office/spreadsheetml/2009/9/main" uri="{725AE2AE-9491-48be-B2B4-4EB974FC3084}">
      <x14:pivotCacheDefinition pivotCacheId="1683477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2025-08"/>
    <n v="202508"/>
    <x v="0"/>
    <n v="8"/>
    <x v="0"/>
    <d v="2025-08-31T00:00:00"/>
    <n v="3"/>
    <s v="Hours"/>
    <x v="0"/>
    <x v="0"/>
    <x v="0"/>
  </r>
  <r>
    <s v="2025-08"/>
    <n v="202508"/>
    <x v="0"/>
    <n v="8"/>
    <x v="0"/>
    <d v="2025-08-31T00:00:00"/>
    <n v="0"/>
    <s v="Hours"/>
    <x v="0"/>
    <x v="1"/>
    <x v="1"/>
  </r>
  <r>
    <s v="2025-08"/>
    <n v="202508"/>
    <x v="0"/>
    <n v="8"/>
    <x v="0"/>
    <d v="2025-08-31T00:00:00"/>
    <n v="9"/>
    <s v="Games"/>
    <x v="0"/>
    <x v="2"/>
    <x v="2"/>
  </r>
  <r>
    <s v="2025-09"/>
    <n v="202509"/>
    <x v="0"/>
    <n v="9"/>
    <x v="1"/>
    <d v="2025-09-30T00:00:00"/>
    <n v="41.75"/>
    <s v="Hours"/>
    <x v="0"/>
    <x v="0"/>
    <x v="3"/>
  </r>
  <r>
    <s v="2025-09"/>
    <n v="202509"/>
    <x v="0"/>
    <n v="9"/>
    <x v="1"/>
    <d v="2025-09-30T00:00:00"/>
    <n v="15.5"/>
    <s v="Hours"/>
    <x v="0"/>
    <x v="1"/>
    <x v="4"/>
  </r>
  <r>
    <s v="2025-09"/>
    <n v="202509"/>
    <x v="0"/>
    <n v="9"/>
    <x v="1"/>
    <d v="2025-09-30T00:00:00"/>
    <n v="14"/>
    <s v="Games"/>
    <x v="0"/>
    <x v="2"/>
    <x v="5"/>
  </r>
  <r>
    <s v="2025-09"/>
    <n v="202509"/>
    <x v="0"/>
    <n v="9"/>
    <x v="1"/>
    <d v="2025-09-05T00:00:00"/>
    <m/>
    <s v="Games"/>
    <x v="1"/>
    <x v="2"/>
    <x v="6"/>
  </r>
  <r>
    <s v="2025-10"/>
    <n v="202510"/>
    <x v="0"/>
    <n v="10"/>
    <x v="2"/>
    <d v="2025-10-31T00:00:00"/>
    <n v="36.25"/>
    <s v="Hours"/>
    <x v="0"/>
    <x v="0"/>
    <x v="7"/>
  </r>
  <r>
    <s v="2025-10"/>
    <n v="202510"/>
    <x v="0"/>
    <n v="10"/>
    <x v="2"/>
    <d v="2025-10-31T00:00:00"/>
    <n v="10.5"/>
    <s v="Hours"/>
    <x v="0"/>
    <x v="1"/>
    <x v="8"/>
  </r>
  <r>
    <s v="2025-10"/>
    <n v="202510"/>
    <x v="0"/>
    <n v="10"/>
    <x v="2"/>
    <d v="2025-10-31T00:00:00"/>
    <n v="6"/>
    <s v="Games"/>
    <x v="0"/>
    <x v="2"/>
    <x v="9"/>
  </r>
  <r>
    <s v="2025-10"/>
    <n v="202510"/>
    <x v="0"/>
    <n v="10"/>
    <x v="2"/>
    <d v="2025-10-16T00:00:00"/>
    <m/>
    <s v="Hours"/>
    <x v="1"/>
    <x v="1"/>
    <x v="10"/>
  </r>
  <r>
    <s v="2025-10"/>
    <n v="202510"/>
    <x v="0"/>
    <n v="10"/>
    <x v="2"/>
    <d v="2025-10-18T00:00:00"/>
    <m/>
    <s v="Hours"/>
    <x v="1"/>
    <x v="1"/>
    <x v="11"/>
  </r>
  <r>
    <s v="2025-10"/>
    <n v="202510"/>
    <x v="0"/>
    <n v="10"/>
    <x v="2"/>
    <d v="2025-10-20T00:00:00"/>
    <m/>
    <s v="Hours"/>
    <x v="1"/>
    <x v="1"/>
    <x v="12"/>
  </r>
  <r>
    <s v="2025-10"/>
    <n v="202510"/>
    <x v="0"/>
    <n v="10"/>
    <x v="2"/>
    <d v="2025-10-03T00:00:00"/>
    <m/>
    <s v="Games"/>
    <x v="1"/>
    <x v="2"/>
    <x v="13"/>
  </r>
  <r>
    <s v="2025-11"/>
    <n v="202511"/>
    <x v="0"/>
    <n v="11"/>
    <x v="3"/>
    <d v="2025-11-30T00:00:00"/>
    <n v="30.5"/>
    <s v="Hours"/>
    <x v="0"/>
    <x v="0"/>
    <x v="14"/>
  </r>
  <r>
    <s v="2025-11"/>
    <n v="202511"/>
    <x v="0"/>
    <n v="11"/>
    <x v="3"/>
    <d v="2025-11-30T00:00:00"/>
    <n v="14.5"/>
    <s v="Hours"/>
    <x v="0"/>
    <x v="1"/>
    <x v="15"/>
  </r>
  <r>
    <s v="2025-11"/>
    <n v="202511"/>
    <x v="0"/>
    <n v="11"/>
    <x v="3"/>
    <d v="2025-11-30T00:00:00"/>
    <n v="7"/>
    <s v="Games"/>
    <x v="0"/>
    <x v="2"/>
    <x v="16"/>
  </r>
  <r>
    <s v="2025-11"/>
    <n v="202511"/>
    <x v="0"/>
    <n v="11"/>
    <x v="3"/>
    <d v="2025-11-06T00:00:00"/>
    <m/>
    <s v="Hours"/>
    <x v="1"/>
    <x v="0"/>
    <x v="17"/>
  </r>
  <r>
    <s v="2025-11"/>
    <n v="202511"/>
    <x v="0"/>
    <n v="11"/>
    <x v="3"/>
    <d v="2025-11-20T00:00:00"/>
    <m/>
    <s v="Hours"/>
    <x v="1"/>
    <x v="1"/>
    <x v="18"/>
  </r>
  <r>
    <s v="2025-11"/>
    <n v="202511"/>
    <x v="0"/>
    <n v="11"/>
    <x v="3"/>
    <d v="2025-11-05T00:00:00"/>
    <m/>
    <s v="Games"/>
    <x v="1"/>
    <x v="2"/>
    <x v="19"/>
  </r>
  <r>
    <s v="2025-12"/>
    <n v="202512"/>
    <x v="0"/>
    <n v="12"/>
    <x v="4"/>
    <d v="2025-12-31T00:00:00"/>
    <n v="8"/>
    <s v="Hours"/>
    <x v="0"/>
    <x v="0"/>
    <x v="20"/>
  </r>
  <r>
    <s v="2025-12"/>
    <n v="202512"/>
    <x v="0"/>
    <n v="12"/>
    <x v="4"/>
    <d v="2025-12-31T00:00:00"/>
    <n v="2"/>
    <s v="Hours"/>
    <x v="0"/>
    <x v="1"/>
    <x v="21"/>
  </r>
  <r>
    <s v="2025-12"/>
    <n v="202512"/>
    <x v="0"/>
    <n v="12"/>
    <x v="4"/>
    <d v="2025-12-31T00:00:00"/>
    <n v="0"/>
    <s v="Games"/>
    <x v="0"/>
    <x v="2"/>
    <x v="22"/>
  </r>
  <r>
    <s v="2025-12"/>
    <n v="202512"/>
    <x v="0"/>
    <n v="12"/>
    <x v="4"/>
    <d v="2025-12-06T00:00:00"/>
    <m/>
    <s v="Hours"/>
    <x v="1"/>
    <x v="0"/>
    <x v="23"/>
  </r>
  <r>
    <s v="2025-12"/>
    <n v="202512"/>
    <x v="0"/>
    <n v="12"/>
    <x v="4"/>
    <d v="2025-12-07T00:00:00"/>
    <m/>
    <s v="Hours"/>
    <x v="1"/>
    <x v="1"/>
    <x v="24"/>
  </r>
  <r>
    <s v="2025-12"/>
    <n v="202512"/>
    <x v="0"/>
    <n v="12"/>
    <x v="4"/>
    <d v="2025-12-01T00:00:00"/>
    <m/>
    <s v="Games"/>
    <x v="1"/>
    <x v="2"/>
    <x v="25"/>
  </r>
  <r>
    <s v="2026-01"/>
    <n v="202601"/>
    <x v="1"/>
    <n v="1"/>
    <x v="5"/>
    <d v="2026-01-31T00:00:00"/>
    <n v="0"/>
    <s v="Hours"/>
    <x v="0"/>
    <x v="0"/>
    <x v="22"/>
  </r>
  <r>
    <s v="2026-01"/>
    <n v="202601"/>
    <x v="1"/>
    <n v="1"/>
    <x v="5"/>
    <d v="2026-01-31T00:00:00"/>
    <n v="0"/>
    <s v="Hours"/>
    <x v="0"/>
    <x v="1"/>
    <x v="1"/>
  </r>
  <r>
    <s v="2026-01"/>
    <n v="202601"/>
    <x v="1"/>
    <n v="1"/>
    <x v="5"/>
    <d v="2026-01-31T00:00:00"/>
    <n v="0"/>
    <s v="Games"/>
    <x v="0"/>
    <x v="2"/>
    <x v="22"/>
  </r>
  <r>
    <s v="2026-01"/>
    <n v="202601"/>
    <x v="1"/>
    <n v="1"/>
    <x v="5"/>
    <d v="2026-01-04T00:00:00"/>
    <m/>
    <s v="Hours"/>
    <x v="1"/>
    <x v="1"/>
    <x v="11"/>
  </r>
  <r>
    <s v="2026-01"/>
    <n v="202601"/>
    <x v="1"/>
    <n v="1"/>
    <x v="5"/>
    <d v="2026-01-23T00:00:00"/>
    <m/>
    <s v="Hours"/>
    <x v="1"/>
    <x v="1"/>
    <x v="26"/>
  </r>
  <r>
    <s v="2026-02"/>
    <n v="202602"/>
    <x v="1"/>
    <n v="2"/>
    <x v="6"/>
    <d v="2026-02-28T00:00:00"/>
    <n v="5.5"/>
    <s v="Hours"/>
    <x v="0"/>
    <x v="0"/>
    <x v="27"/>
  </r>
  <r>
    <s v="2026-02"/>
    <n v="202602"/>
    <x v="1"/>
    <n v="2"/>
    <x v="6"/>
    <d v="2026-02-28T00:00:00"/>
    <n v="1.5"/>
    <s v="Hours"/>
    <x v="0"/>
    <x v="1"/>
    <x v="28"/>
  </r>
  <r>
    <s v="2026-02"/>
    <n v="202602"/>
    <x v="1"/>
    <n v="2"/>
    <x v="6"/>
    <d v="2026-02-28T00:00:00"/>
    <n v="6"/>
    <s v="Games"/>
    <x v="0"/>
    <x v="2"/>
    <x v="9"/>
  </r>
  <r>
    <s v="2026-02"/>
    <n v="202602"/>
    <x v="1"/>
    <n v="2"/>
    <x v="6"/>
    <d v="2026-02-05T00:00:00"/>
    <m/>
    <s v="Hours"/>
    <x v="1"/>
    <x v="1"/>
    <x v="11"/>
  </r>
  <r>
    <s v="2026-03"/>
    <n v="202603"/>
    <x v="1"/>
    <n v="3"/>
    <x v="7"/>
    <d v="2026-03-31T00:00:00"/>
    <n v="31.25"/>
    <s v="Hours"/>
    <x v="0"/>
    <x v="0"/>
    <x v="29"/>
  </r>
  <r>
    <s v="2026-03"/>
    <n v="202603"/>
    <x v="1"/>
    <n v="3"/>
    <x v="7"/>
    <d v="2026-03-31T00:00:00"/>
    <n v="12.5"/>
    <s v="Hours"/>
    <x v="0"/>
    <x v="1"/>
    <x v="30"/>
  </r>
  <r>
    <s v="2026-03"/>
    <n v="202603"/>
    <x v="1"/>
    <n v="3"/>
    <x v="7"/>
    <d v="2026-03-31T00:00:00"/>
    <n v="14"/>
    <s v="Games"/>
    <x v="0"/>
    <x v="2"/>
    <x v="5"/>
  </r>
  <r>
    <s v="2026-03"/>
    <n v="202603"/>
    <x v="1"/>
    <n v="3"/>
    <x v="7"/>
    <d v="2026-03-02T00:00:00"/>
    <m/>
    <s v="Hours"/>
    <x v="1"/>
    <x v="1"/>
    <x v="11"/>
  </r>
  <r>
    <s v="2026-03"/>
    <n v="202603"/>
    <x v="1"/>
    <n v="3"/>
    <x v="7"/>
    <d v="2026-03-02T00:00:00"/>
    <m/>
    <s v="Games"/>
    <x v="1"/>
    <x v="2"/>
    <x v="19"/>
  </r>
  <r>
    <s v="2026-04"/>
    <n v="202604"/>
    <x v="1"/>
    <n v="4"/>
    <x v="8"/>
    <d v="2026-04-30T00:00:00"/>
    <n v="21.5"/>
    <s v="Hours"/>
    <x v="0"/>
    <x v="0"/>
    <x v="31"/>
  </r>
  <r>
    <s v="2026-04"/>
    <n v="202604"/>
    <x v="1"/>
    <n v="4"/>
    <x v="8"/>
    <d v="2026-04-30T00:00:00"/>
    <n v="5"/>
    <s v="Hours"/>
    <x v="0"/>
    <x v="1"/>
    <x v="32"/>
  </r>
  <r>
    <s v="2026-04"/>
    <n v="202604"/>
    <x v="1"/>
    <n v="4"/>
    <x v="8"/>
    <d v="2026-04-30T00:00:00"/>
    <n v="6"/>
    <s v="Games"/>
    <x v="2"/>
    <x v="2"/>
    <x v="9"/>
  </r>
  <r>
    <s v="2026-04"/>
    <n v="202604"/>
    <x v="1"/>
    <n v="4"/>
    <x v="8"/>
    <d v="2026-04-30T00:00:00"/>
    <n v="10"/>
    <s v="Days"/>
    <x v="0"/>
    <x v="3"/>
    <x v="33"/>
  </r>
  <r>
    <s v="2026-04"/>
    <n v="202604"/>
    <x v="1"/>
    <n v="4"/>
    <x v="8"/>
    <d v="2026-04-02T00:00:00"/>
    <m/>
    <s v="Hours"/>
    <x v="1"/>
    <x v="1"/>
    <x v="11"/>
  </r>
  <r>
    <s v="2026-04"/>
    <n v="202604"/>
    <x v="1"/>
    <n v="4"/>
    <x v="8"/>
    <d v="2026-04-08T00:00:00"/>
    <m/>
    <s v="Hours"/>
    <x v="1"/>
    <x v="1"/>
    <x v="34"/>
  </r>
  <r>
    <s v="2026-04"/>
    <n v="202604"/>
    <x v="1"/>
    <n v="4"/>
    <x v="8"/>
    <d v="2026-04-04T00:00:00"/>
    <m/>
    <s v="Games"/>
    <x v="1"/>
    <x v="2"/>
    <x v="13"/>
  </r>
  <r>
    <s v="2026-04"/>
    <n v="202604"/>
    <x v="1"/>
    <n v="4"/>
    <x v="8"/>
    <d v="2026-04-14T00:00:00"/>
    <m/>
    <s v="Days"/>
    <x v="1"/>
    <x v="3"/>
    <x v="35"/>
  </r>
  <r>
    <s v="2026-04"/>
    <n v="202604"/>
    <x v="1"/>
    <n v="4"/>
    <x v="8"/>
    <d v="2026-04-21T00:00:00"/>
    <m/>
    <s v="Days"/>
    <x v="1"/>
    <x v="3"/>
    <x v="36"/>
  </r>
  <r>
    <s v="2026-05"/>
    <n v="202605"/>
    <x v="1"/>
    <n v="5"/>
    <x v="9"/>
    <d v="2026-05-31T00:00:00"/>
    <n v="43"/>
    <s v="Hours"/>
    <x v="2"/>
    <x v="0"/>
    <x v="37"/>
  </r>
  <r>
    <s v="2026-05"/>
    <n v="202605"/>
    <x v="1"/>
    <n v="5"/>
    <x v="9"/>
    <d v="2026-05-31T00:00:00"/>
    <n v="16"/>
    <s v="Hours"/>
    <x v="2"/>
    <x v="1"/>
    <x v="38"/>
  </r>
  <r>
    <s v="2026-05"/>
    <n v="202605"/>
    <x v="1"/>
    <n v="5"/>
    <x v="9"/>
    <d v="2026-05-31T00:00:00"/>
    <n v="6"/>
    <s v="Games"/>
    <x v="2"/>
    <x v="2"/>
    <x v="9"/>
  </r>
  <r>
    <s v="2026-05"/>
    <n v="202605"/>
    <x v="1"/>
    <n v="5"/>
    <x v="9"/>
    <d v="2026-05-31T00:00:00"/>
    <n v="0"/>
    <s v="Days"/>
    <x v="0"/>
    <x v="3"/>
    <x v="22"/>
  </r>
  <r>
    <s v="2026-06"/>
    <n v="202606"/>
    <x v="1"/>
    <n v="6"/>
    <x v="10"/>
    <d v="2026-06-30T00:00:00"/>
    <n v="43"/>
    <s v="Hours"/>
    <x v="2"/>
    <x v="0"/>
    <x v="37"/>
  </r>
  <r>
    <s v="2026-06"/>
    <n v="202606"/>
    <x v="1"/>
    <n v="6"/>
    <x v="10"/>
    <d v="2026-06-30T00:00:00"/>
    <n v="7.5"/>
    <s v="Hours"/>
    <x v="2"/>
    <x v="1"/>
    <x v="39"/>
  </r>
  <r>
    <s v="2026-06"/>
    <n v="202606"/>
    <x v="1"/>
    <n v="6"/>
    <x v="10"/>
    <d v="2026-06-30T00:00:00"/>
    <n v="0"/>
    <s v="Games"/>
    <x v="2"/>
    <x v="2"/>
    <x v="22"/>
  </r>
  <r>
    <s v="2026-06"/>
    <n v="202606"/>
    <x v="1"/>
    <n v="6"/>
    <x v="10"/>
    <d v="2026-06-30T00:00:00"/>
    <n v="0"/>
    <s v="Days"/>
    <x v="0"/>
    <x v="3"/>
    <x v="22"/>
  </r>
  <r>
    <s v="2026-07"/>
    <n v="202607"/>
    <x v="1"/>
    <n v="7"/>
    <x v="11"/>
    <d v="2026-07-31T00:00:00"/>
    <n v="0"/>
    <s v="Hours"/>
    <x v="2"/>
    <x v="0"/>
    <x v="22"/>
  </r>
  <r>
    <s v="2026-07"/>
    <n v="202607"/>
    <x v="1"/>
    <n v="7"/>
    <x v="11"/>
    <d v="2026-07-31T00:00:00"/>
    <n v="0"/>
    <s v="Hours"/>
    <x v="2"/>
    <x v="1"/>
    <x v="1"/>
  </r>
  <r>
    <s v="2026-07"/>
    <n v="202607"/>
    <x v="1"/>
    <n v="7"/>
    <x v="11"/>
    <d v="2026-07-31T00:00:00"/>
    <n v="0"/>
    <s v="Games"/>
    <x v="2"/>
    <x v="2"/>
    <x v="22"/>
  </r>
  <r>
    <s v="2026-07"/>
    <n v="202607"/>
    <x v="1"/>
    <n v="7"/>
    <x v="11"/>
    <d v="2026-07-31T00:00:00"/>
    <n v="13"/>
    <s v="Days"/>
    <x v="2"/>
    <x v="3"/>
    <x v="40"/>
  </r>
  <r>
    <s v="2026-08"/>
    <n v="202608"/>
    <x v="1"/>
    <n v="8"/>
    <x v="0"/>
    <d v="2026-08-31T00:00:00"/>
    <n v="15"/>
    <s v="Days"/>
    <x v="2"/>
    <x v="3"/>
    <x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30CED5-CD5A-0E46-812B-49D8272A88D3}" name="Hours_Games" cacheId="158" applyNumberFormats="0" applyBorderFormats="0" applyFontFormats="0" applyPatternFormats="0" applyAlignmentFormats="0" applyWidthHeightFormats="1" dataCaption="Values" updatedVersion="8" minRefreshableVersion="3" showDrill="0" useAutoFormatting="1" colGrandTotals="0" itemPrintTitles="1" mergeItem="1" createdVersion="8" indent="0" showHeaders="0" outline="1" outlineData="1" chartFormat="2" rowHeaderCaption="">
  <location ref="E5:I21" firstHeaderRow="1" firstDataRow="2" firstDataCol="1"/>
  <pivotFields count="14">
    <pivotField showAll="0"/>
    <pivotField showAll="0"/>
    <pivotField axis="axisRow" showAll="0">
      <items count="3">
        <item x="0"/>
        <item x="1"/>
        <item t="default"/>
      </items>
    </pivotField>
    <pivotField showAll="0"/>
    <pivotField axis="axisRow" showAll="0" measureFilter="1">
      <items count="14">
        <item x="5"/>
        <item x="6"/>
        <item x="7"/>
        <item x="0"/>
        <item x="1"/>
        <item x="2"/>
        <item x="3"/>
        <item x="4"/>
        <item x="8"/>
        <item m="1" x="12"/>
        <item x="9"/>
        <item x="10"/>
        <item x="11"/>
        <item t="default"/>
      </items>
    </pivotField>
    <pivotField numFmtId="14" showAll="0"/>
    <pivotField dataField="1" showAll="0"/>
    <pivotField showAll="0"/>
    <pivotField multipleItemSelectionAllowed="1" showAll="0"/>
    <pivotField axis="axisCol" showAll="0">
      <items count="10">
        <item m="1" x="4"/>
        <item m="1" x="5"/>
        <item m="1" x="6"/>
        <item m="1" x="8"/>
        <item m="1" x="7"/>
        <item x="0"/>
        <item x="1"/>
        <item x="2"/>
        <item x="3"/>
        <item t="default"/>
      </items>
    </pivotField>
    <pivotField numFmtId="164" showAll="0"/>
    <pivotField dragToRow="0" dragToCol="0" dragToPage="0" showAll="0" defaultSubtotal="0"/>
    <pivotField dragToRow="0" dragToCol="0" dragToPage="0" showAll="0" defaultSubtotal="0"/>
    <pivotField dragToRow="0" dragToCol="0" dragToPage="0" showAll="0" defaultSubtotal="0"/>
  </pivotFields>
  <rowFields count="2">
    <field x="2"/>
    <field x="4"/>
  </rowFields>
  <rowItems count="15">
    <i>
      <x/>
    </i>
    <i r="1">
      <x v="3"/>
    </i>
    <i r="1">
      <x v="4"/>
    </i>
    <i r="1">
      <x v="5"/>
    </i>
    <i r="1">
      <x v="6"/>
    </i>
    <i r="1">
      <x v="7"/>
    </i>
    <i>
      <x v="1"/>
    </i>
    <i r="1">
      <x v="1"/>
    </i>
    <i r="1">
      <x v="2"/>
    </i>
    <i r="1">
      <x v="3"/>
    </i>
    <i r="1">
      <x v="8"/>
    </i>
    <i r="1">
      <x v="10"/>
    </i>
    <i r="1">
      <x v="11"/>
    </i>
    <i r="1">
      <x v="12"/>
    </i>
    <i t="grand">
      <x/>
    </i>
  </rowItems>
  <colFields count="1">
    <field x="9"/>
  </colFields>
  <colItems count="4">
    <i>
      <x v="5"/>
    </i>
    <i>
      <x v="6"/>
    </i>
    <i>
      <x v="7"/>
    </i>
    <i>
      <x v="8"/>
    </i>
  </colItems>
  <dataFields count="1">
    <dataField name="ACTIVITY BY CLUB" fld="6" baseField="0" baseItem="0"/>
  </dataFields>
  <formats count="128">
    <format dxfId="542">
      <pivotArea type="all" dataOnly="0" outline="0" fieldPosition="0"/>
    </format>
    <format dxfId="541">
      <pivotArea outline="0" collapsedLevelsAreSubtotals="1" fieldPosition="0"/>
    </format>
    <format dxfId="540">
      <pivotArea type="origin" dataOnly="0" labelOnly="1" outline="0" fieldPosition="0"/>
    </format>
    <format dxfId="539">
      <pivotArea field="9" type="button" dataOnly="0" labelOnly="1" outline="0" axis="axisCol" fieldPosition="0"/>
    </format>
    <format dxfId="538">
      <pivotArea type="topRight" dataOnly="0" labelOnly="1" outline="0" fieldPosition="0"/>
    </format>
    <format dxfId="537">
      <pivotArea field="2" type="button" dataOnly="0" labelOnly="1" outline="0" axis="axisRow" fieldPosition="0"/>
    </format>
    <format dxfId="536">
      <pivotArea dataOnly="0" labelOnly="1" fieldPosition="0">
        <references count="1">
          <reference field="2" count="0"/>
        </references>
      </pivotArea>
    </format>
    <format dxfId="535">
      <pivotArea dataOnly="0" labelOnly="1" grandRow="1" outline="0" fieldPosition="0"/>
    </format>
    <format dxfId="534">
      <pivotArea dataOnly="0" labelOnly="1" fieldPosition="0">
        <references count="2">
          <reference field="2" count="1" selected="0">
            <x v="0"/>
          </reference>
          <reference field="4" count="5">
            <x v="3"/>
            <x v="4"/>
            <x v="5"/>
            <x v="6"/>
            <x v="7"/>
          </reference>
        </references>
      </pivotArea>
    </format>
    <format dxfId="533">
      <pivotArea dataOnly="0" labelOnly="1" fieldPosition="0">
        <references count="2">
          <reference field="2" count="1" selected="0">
            <x v="1"/>
          </reference>
          <reference field="4" count="3">
            <x v="0"/>
            <x v="1"/>
            <x v="2"/>
          </reference>
        </references>
      </pivotArea>
    </format>
    <format dxfId="532">
      <pivotArea dataOnly="0" labelOnly="1" fieldPosition="0">
        <references count="1">
          <reference field="9" count="0"/>
        </references>
      </pivotArea>
    </format>
    <format dxfId="531">
      <pivotArea dataOnly="0" labelOnly="1" grandCol="1" outline="0" fieldPosition="0"/>
    </format>
    <format dxfId="530">
      <pivotArea collapsedLevelsAreSubtotals="1" fieldPosition="0">
        <references count="1">
          <reference field="2" count="1">
            <x v="0"/>
          </reference>
        </references>
      </pivotArea>
    </format>
    <format dxfId="529">
      <pivotArea dataOnly="0" labelOnly="1" fieldPosition="0">
        <references count="1">
          <reference field="2" count="1">
            <x v="0"/>
          </reference>
        </references>
      </pivotArea>
    </format>
    <format dxfId="528">
      <pivotArea collapsedLevelsAreSubtotals="1" fieldPosition="0">
        <references count="1">
          <reference field="2" count="1">
            <x v="1"/>
          </reference>
        </references>
      </pivotArea>
    </format>
    <format dxfId="527">
      <pivotArea dataOnly="0" labelOnly="1" fieldPosition="0">
        <references count="1">
          <reference field="2" count="1">
            <x v="1"/>
          </reference>
        </references>
      </pivotArea>
    </format>
    <format dxfId="526">
      <pivotArea grandRow="1" outline="0" collapsedLevelsAreSubtotals="1" fieldPosition="0"/>
    </format>
    <format dxfId="525">
      <pivotArea dataOnly="0" labelOnly="1" grandRow="1" outline="0" fieldPosition="0"/>
    </format>
    <format dxfId="524">
      <pivotArea dataOnly="0" labelOnly="1" fieldPosition="0">
        <references count="1">
          <reference field="9" count="1">
            <x v="0"/>
          </reference>
        </references>
      </pivotArea>
    </format>
    <format dxfId="523">
      <pivotArea dataOnly="0" labelOnly="1" fieldPosition="0">
        <references count="1">
          <reference field="9" count="1">
            <x v="1"/>
          </reference>
        </references>
      </pivotArea>
    </format>
    <format dxfId="522">
      <pivotArea dataOnly="0" labelOnly="1" fieldPosition="0">
        <references count="1">
          <reference field="9" count="1">
            <x v="2"/>
          </reference>
        </references>
      </pivotArea>
    </format>
    <format dxfId="521">
      <pivotArea dataOnly="0" labelOnly="1" grandCol="1" outline="0" fieldPosition="0"/>
    </format>
    <format dxfId="520">
      <pivotArea grandRow="1" grandCol="1" outline="0" collapsedLevelsAreSubtotals="1" fieldPosition="0"/>
    </format>
    <format dxfId="519">
      <pivotArea field="2" grandCol="1" collapsedLevelsAreSubtotals="1" axis="axisRow" fieldPosition="0">
        <references count="1">
          <reference field="2" count="1">
            <x v="0"/>
          </reference>
        </references>
      </pivotArea>
    </format>
    <format dxfId="518">
      <pivotArea field="4" grandCol="1" collapsedLevelsAreSubtotals="1" axis="axisRow" fieldPosition="1">
        <references count="2">
          <reference field="2" count="1" selected="0">
            <x v="0"/>
          </reference>
          <reference field="4" count="5">
            <x v="3"/>
            <x v="4"/>
            <x v="5"/>
            <x v="6"/>
            <x v="7"/>
          </reference>
        </references>
      </pivotArea>
    </format>
    <format dxfId="517">
      <pivotArea field="2" grandCol="1" collapsedLevelsAreSubtotals="1" axis="axisRow" fieldPosition="0">
        <references count="1">
          <reference field="2" count="1">
            <x v="1"/>
          </reference>
        </references>
      </pivotArea>
    </format>
    <format dxfId="516">
      <pivotArea field="4" grandCol="1" collapsedLevelsAreSubtotals="1" axis="axisRow" fieldPosition="1">
        <references count="2">
          <reference field="2" count="1" selected="0">
            <x v="1"/>
          </reference>
          <reference field="4" count="3">
            <x v="0"/>
            <x v="1"/>
            <x v="2"/>
          </reference>
        </references>
      </pivotArea>
    </format>
    <format dxfId="515">
      <pivotArea dataOnly="0" labelOnly="1" grandRow="1" outline="0" fieldPosition="0"/>
    </format>
    <format dxfId="514">
      <pivotArea collapsedLevelsAreSubtotals="1" fieldPosition="0">
        <references count="2">
          <reference field="2" count="1">
            <x v="0"/>
          </reference>
          <reference field="9" count="1" selected="0">
            <x v="2"/>
          </reference>
        </references>
      </pivotArea>
    </format>
    <format dxfId="513">
      <pivotArea collapsedLevelsAreSubtotals="1" fieldPosition="0">
        <references count="3">
          <reference field="2" count="1" selected="0">
            <x v="0"/>
          </reference>
          <reference field="4" count="5">
            <x v="3"/>
            <x v="4"/>
            <x v="5"/>
            <x v="6"/>
            <x v="7"/>
          </reference>
          <reference field="9" count="1" selected="0">
            <x v="2"/>
          </reference>
        </references>
      </pivotArea>
    </format>
    <format dxfId="512">
      <pivotArea collapsedLevelsAreSubtotals="1" fieldPosition="0">
        <references count="2">
          <reference field="2" count="1">
            <x v="1"/>
          </reference>
          <reference field="9" count="1" selected="0">
            <x v="2"/>
          </reference>
        </references>
      </pivotArea>
    </format>
    <format dxfId="511">
      <pivotArea collapsedLevelsAreSubtotals="1" fieldPosition="0">
        <references count="3">
          <reference field="2" count="1" selected="0">
            <x v="1"/>
          </reference>
          <reference field="4" count="3">
            <x v="0"/>
            <x v="1"/>
            <x v="2"/>
          </reference>
          <reference field="9" count="1" selected="0">
            <x v="2"/>
          </reference>
        </references>
      </pivotArea>
    </format>
    <format dxfId="510">
      <pivotArea dataOnly="0" labelOnly="1" fieldPosition="0">
        <references count="1">
          <reference field="9" count="1">
            <x v="2"/>
          </reference>
        </references>
      </pivotArea>
    </format>
    <format dxfId="509">
      <pivotArea collapsedLevelsAreSubtotals="1" fieldPosition="0">
        <references count="2">
          <reference field="2" count="1">
            <x v="0"/>
          </reference>
          <reference field="9" count="1" selected="0">
            <x v="1"/>
          </reference>
        </references>
      </pivotArea>
    </format>
    <format dxfId="508">
      <pivotArea collapsedLevelsAreSubtotals="1" fieldPosition="0">
        <references count="3">
          <reference field="2" count="1" selected="0">
            <x v="0"/>
          </reference>
          <reference field="4" count="5">
            <x v="3"/>
            <x v="4"/>
            <x v="5"/>
            <x v="6"/>
            <x v="7"/>
          </reference>
          <reference field="9" count="1" selected="0">
            <x v="1"/>
          </reference>
        </references>
      </pivotArea>
    </format>
    <format dxfId="507">
      <pivotArea collapsedLevelsAreSubtotals="1" fieldPosition="0">
        <references count="2">
          <reference field="2" count="1">
            <x v="1"/>
          </reference>
          <reference field="9" count="1" selected="0">
            <x v="1"/>
          </reference>
        </references>
      </pivotArea>
    </format>
    <format dxfId="506">
      <pivotArea collapsedLevelsAreSubtotals="1" fieldPosition="0">
        <references count="3">
          <reference field="2" count="1" selected="0">
            <x v="1"/>
          </reference>
          <reference field="4" count="3">
            <x v="0"/>
            <x v="1"/>
            <x v="2"/>
          </reference>
          <reference field="9" count="1" selected="0">
            <x v="1"/>
          </reference>
        </references>
      </pivotArea>
    </format>
    <format dxfId="505">
      <pivotArea collapsedLevelsAreSubtotals="1" fieldPosition="0">
        <references count="2">
          <reference field="2" count="1">
            <x v="0"/>
          </reference>
          <reference field="9" count="1" selected="0">
            <x v="0"/>
          </reference>
        </references>
      </pivotArea>
    </format>
    <format dxfId="504">
      <pivotArea collapsedLevelsAreSubtotals="1" fieldPosition="0">
        <references count="3">
          <reference field="2" count="1" selected="0">
            <x v="0"/>
          </reference>
          <reference field="4" count="5">
            <x v="3"/>
            <x v="4"/>
            <x v="5"/>
            <x v="6"/>
            <x v="7"/>
          </reference>
          <reference field="9" count="1" selected="0">
            <x v="0"/>
          </reference>
        </references>
      </pivotArea>
    </format>
    <format dxfId="503">
      <pivotArea collapsedLevelsAreSubtotals="1" fieldPosition="0">
        <references count="2">
          <reference field="2" count="1">
            <x v="1"/>
          </reference>
          <reference field="9" count="1" selected="0">
            <x v="0"/>
          </reference>
        </references>
      </pivotArea>
    </format>
    <format dxfId="502">
      <pivotArea collapsedLevelsAreSubtotals="1" fieldPosition="0">
        <references count="3">
          <reference field="2" count="1" selected="0">
            <x v="1"/>
          </reference>
          <reference field="4" count="3">
            <x v="0"/>
            <x v="1"/>
            <x v="2"/>
          </reference>
          <reference field="9" count="1" selected="0">
            <x v="0"/>
          </reference>
        </references>
      </pivotArea>
    </format>
    <format dxfId="501">
      <pivotArea dataOnly="0" labelOnly="1" fieldPosition="0">
        <references count="1">
          <reference field="9" count="1">
            <x v="0"/>
          </reference>
        </references>
      </pivotArea>
    </format>
    <format dxfId="500">
      <pivotArea dataOnly="0" labelOnly="1" fieldPosition="0">
        <references count="1">
          <reference field="2" count="0"/>
        </references>
      </pivotArea>
    </format>
    <format dxfId="499">
      <pivotArea dataOnly="0" labelOnly="1" fieldPosition="0">
        <references count="2">
          <reference field="2" count="1" selected="0">
            <x v="0"/>
          </reference>
          <reference field="4" count="5">
            <x v="3"/>
            <x v="4"/>
            <x v="5"/>
            <x v="6"/>
            <x v="7"/>
          </reference>
        </references>
      </pivotArea>
    </format>
    <format dxfId="498">
      <pivotArea dataOnly="0" labelOnly="1" fieldPosition="0">
        <references count="2">
          <reference field="2" count="1" selected="0">
            <x v="1"/>
          </reference>
          <reference field="4" count="3">
            <x v="0"/>
            <x v="1"/>
            <x v="2"/>
          </reference>
        </references>
      </pivotArea>
    </format>
    <format dxfId="497">
      <pivotArea dataOnly="0" labelOnly="1" fieldPosition="0">
        <references count="1">
          <reference field="2" count="0"/>
        </references>
      </pivotArea>
    </format>
    <format dxfId="496">
      <pivotArea dataOnly="0" labelOnly="1" fieldPosition="0">
        <references count="2">
          <reference field="2" count="1" selected="0">
            <x v="0"/>
          </reference>
          <reference field="4" count="5">
            <x v="3"/>
            <x v="4"/>
            <x v="5"/>
            <x v="6"/>
            <x v="7"/>
          </reference>
        </references>
      </pivotArea>
    </format>
    <format dxfId="495">
      <pivotArea dataOnly="0" labelOnly="1" fieldPosition="0">
        <references count="2">
          <reference field="2" count="1" selected="0">
            <x v="1"/>
          </reference>
          <reference field="4" count="3">
            <x v="0"/>
            <x v="1"/>
            <x v="2"/>
          </reference>
        </references>
      </pivotArea>
    </format>
    <format dxfId="494">
      <pivotArea type="origin" dataOnly="0" labelOnly="1" outline="0" fieldPosition="0"/>
    </format>
    <format dxfId="493">
      <pivotArea type="topRight" dataOnly="0" labelOnly="1" outline="0" fieldPosition="0"/>
    </format>
    <format dxfId="492">
      <pivotArea type="origin" dataOnly="0" labelOnly="1" outline="0" fieldPosition="0"/>
    </format>
    <format dxfId="491">
      <pivotArea type="topRight" dataOnly="0" labelOnly="1" outline="0" fieldPosition="0"/>
    </format>
    <format dxfId="490">
      <pivotArea type="origin" dataOnly="0" labelOnly="1" outline="0" fieldPosition="0"/>
    </format>
    <format dxfId="489">
      <pivotArea type="origin" dataOnly="0" labelOnly="1" outline="0" fieldPosition="0"/>
    </format>
    <format dxfId="488">
      <pivotArea type="topRight" dataOnly="0" labelOnly="1" outline="0" fieldPosition="0"/>
    </format>
    <format dxfId="487">
      <pivotArea outline="0" collapsedLevelsAreSubtotals="1" fieldPosition="0"/>
    </format>
    <format dxfId="486">
      <pivotArea dataOnly="0" labelOnly="1" fieldPosition="0">
        <references count="1">
          <reference field="2" count="0"/>
        </references>
      </pivotArea>
    </format>
    <format dxfId="485">
      <pivotArea dataOnly="0" labelOnly="1" grandRow="1" outline="0" fieldPosition="0"/>
    </format>
    <format dxfId="484">
      <pivotArea dataOnly="0" labelOnly="1" fieldPosition="0">
        <references count="2">
          <reference field="2" count="1" selected="0">
            <x v="0"/>
          </reference>
          <reference field="4" count="5">
            <x v="3"/>
            <x v="4"/>
            <x v="5"/>
            <x v="6"/>
            <x v="7"/>
          </reference>
        </references>
      </pivotArea>
    </format>
    <format dxfId="483">
      <pivotArea dataOnly="0" labelOnly="1" fieldPosition="0">
        <references count="2">
          <reference field="2" count="1" selected="0">
            <x v="1"/>
          </reference>
          <reference field="4" count="3">
            <x v="0"/>
            <x v="1"/>
            <x v="2"/>
          </reference>
        </references>
      </pivotArea>
    </format>
    <format dxfId="482">
      <pivotArea dataOnly="0" labelOnly="1" fieldPosition="0">
        <references count="1">
          <reference field="2" count="0"/>
        </references>
      </pivotArea>
    </format>
    <format dxfId="481">
      <pivotArea dataOnly="0" labelOnly="1" grandRow="1" outline="0" fieldPosition="0"/>
    </format>
    <format dxfId="480">
      <pivotArea dataOnly="0" labelOnly="1" fieldPosition="0">
        <references count="2">
          <reference field="2" count="1" selected="0">
            <x v="0"/>
          </reference>
          <reference field="4" count="5">
            <x v="3"/>
            <x v="4"/>
            <x v="5"/>
            <x v="6"/>
            <x v="7"/>
          </reference>
        </references>
      </pivotArea>
    </format>
    <format dxfId="479">
      <pivotArea dataOnly="0" labelOnly="1" fieldPosition="0">
        <references count="2">
          <reference field="2" count="1" selected="0">
            <x v="1"/>
          </reference>
          <reference field="4" count="3">
            <x v="0"/>
            <x v="1"/>
            <x v="2"/>
          </reference>
        </references>
      </pivotArea>
    </format>
    <format dxfId="478">
      <pivotArea type="origin" dataOnly="0" labelOnly="1" outline="0" fieldPosition="0"/>
    </format>
    <format dxfId="477">
      <pivotArea type="all" dataOnly="0" outline="0" fieldPosition="0"/>
    </format>
    <format dxfId="476">
      <pivotArea outline="0" collapsedLevelsAreSubtotals="1" fieldPosition="0"/>
    </format>
    <format dxfId="475">
      <pivotArea type="origin" dataOnly="0" labelOnly="1" outline="0" fieldPosition="0"/>
    </format>
    <format dxfId="474">
      <pivotArea type="topRight" dataOnly="0" labelOnly="1" outline="0" fieldPosition="0"/>
    </format>
    <format dxfId="473">
      <pivotArea dataOnly="0" labelOnly="1" fieldPosition="0">
        <references count="1">
          <reference field="2" count="0"/>
        </references>
      </pivotArea>
    </format>
    <format dxfId="472">
      <pivotArea dataOnly="0" labelOnly="1" grandRow="1" outline="0" fieldPosition="0"/>
    </format>
    <format dxfId="471">
      <pivotArea dataOnly="0" labelOnly="1" fieldPosition="0">
        <references count="2">
          <reference field="2" count="1" selected="0">
            <x v="0"/>
          </reference>
          <reference field="4" count="5">
            <x v="3"/>
            <x v="4"/>
            <x v="5"/>
            <x v="6"/>
            <x v="7"/>
          </reference>
        </references>
      </pivotArea>
    </format>
    <format dxfId="470">
      <pivotArea dataOnly="0" labelOnly="1" fieldPosition="0">
        <references count="2">
          <reference field="2" count="1" selected="0">
            <x v="1"/>
          </reference>
          <reference field="4" count="3">
            <x v="0"/>
            <x v="1"/>
            <x v="2"/>
          </reference>
        </references>
      </pivotArea>
    </format>
    <format dxfId="469">
      <pivotArea dataOnly="0" labelOnly="1" fieldPosition="0">
        <references count="1">
          <reference field="9" count="0"/>
        </references>
      </pivotArea>
    </format>
    <format dxfId="468">
      <pivotArea dataOnly="0" labelOnly="1" grandCol="1" outline="0" fieldPosition="0"/>
    </format>
    <format dxfId="467">
      <pivotArea type="origin" dataOnly="0" labelOnly="1" outline="0" fieldPosition="0"/>
    </format>
    <format dxfId="466">
      <pivotArea type="origin" dataOnly="0" labelOnly="1" outline="0" fieldPosition="0"/>
    </format>
    <format dxfId="465">
      <pivotArea type="origin" dataOnly="0" labelOnly="1" outline="0" fieldPosition="0"/>
    </format>
    <format dxfId="464">
      <pivotArea type="topRight" dataOnly="0" labelOnly="1" outline="0" fieldPosition="0"/>
    </format>
    <format dxfId="463">
      <pivotArea type="origin" dataOnly="0" labelOnly="1" outline="0" fieldPosition="0"/>
    </format>
    <format dxfId="462">
      <pivotArea type="topRight" dataOnly="0" labelOnly="1" outline="0" fieldPosition="0"/>
    </format>
    <format dxfId="461">
      <pivotArea dataOnly="0" labelOnly="1" grandRow="1" outline="0" fieldPosition="0"/>
    </format>
    <format dxfId="460">
      <pivotArea field="9" grandRow="1" outline="0" collapsedLevelsAreSubtotals="1" axis="axisCol" fieldPosition="0">
        <references count="1">
          <reference field="9" count="1" selected="0">
            <x v="2"/>
          </reference>
        </references>
      </pivotArea>
    </format>
    <format dxfId="459">
      <pivotArea field="2" grandCol="1" collapsedLevelsAreSubtotals="1" axis="axisRow" fieldPosition="0">
        <references count="1">
          <reference field="2" count="1">
            <x v="1"/>
          </reference>
        </references>
      </pivotArea>
    </format>
    <format dxfId="458">
      <pivotArea field="4" grandCol="1" collapsedLevelsAreSubtotals="1" axis="axisRow" fieldPosition="1">
        <references count="2">
          <reference field="2" count="1" selected="0">
            <x v="0"/>
          </reference>
          <reference field="4" count="1">
            <x v="3"/>
          </reference>
        </references>
      </pivotArea>
    </format>
    <format dxfId="457">
      <pivotArea dataOnly="0" fieldPosition="0">
        <references count="1">
          <reference field="2" count="0"/>
        </references>
      </pivotArea>
    </format>
    <format dxfId="456">
      <pivotArea dataOnly="0" labelOnly="1" fieldPosition="0">
        <references count="1">
          <reference field="9" count="1">
            <x v="0"/>
          </reference>
        </references>
      </pivotArea>
    </format>
    <format dxfId="455">
      <pivotArea collapsedLevelsAreSubtotals="1" fieldPosition="0">
        <references count="1">
          <reference field="2" count="1">
            <x v="0"/>
          </reference>
        </references>
      </pivotArea>
    </format>
    <format dxfId="454">
      <pivotArea dataOnly="0" labelOnly="1" fieldPosition="0">
        <references count="1">
          <reference field="2" count="1">
            <x v="0"/>
          </reference>
        </references>
      </pivotArea>
    </format>
    <format dxfId="453">
      <pivotArea collapsedLevelsAreSubtotals="1" fieldPosition="0">
        <references count="1">
          <reference field="2" count="1">
            <x v="1"/>
          </reference>
        </references>
      </pivotArea>
    </format>
    <format dxfId="452">
      <pivotArea dataOnly="0" labelOnly="1" fieldPosition="0">
        <references count="1">
          <reference field="2" count="1">
            <x v="1"/>
          </reference>
        </references>
      </pivotArea>
    </format>
    <format dxfId="451">
      <pivotArea dataOnly="0" labelOnly="1" fieldPosition="0">
        <references count="2">
          <reference field="2" count="1" selected="0">
            <x v="1"/>
          </reference>
          <reference field="4" count="1">
            <x v="8"/>
          </reference>
        </references>
      </pivotArea>
    </format>
    <format dxfId="450">
      <pivotArea collapsedLevelsAreSubtotals="1" fieldPosition="0">
        <references count="2">
          <reference field="2" count="1" selected="0">
            <x v="1"/>
          </reference>
          <reference field="4" count="1">
            <x v="2"/>
          </reference>
        </references>
      </pivotArea>
    </format>
    <format dxfId="449">
      <pivotArea dataOnly="0" labelOnly="1" fieldPosition="0">
        <references count="2">
          <reference field="2" count="1" selected="0">
            <x v="1"/>
          </reference>
          <reference field="4" count="1">
            <x v="2"/>
          </reference>
        </references>
      </pivotArea>
    </format>
    <format dxfId="448">
      <pivotArea collapsedLevelsAreSubtotals="1" fieldPosition="0">
        <references count="2">
          <reference field="2" count="1">
            <x v="0"/>
          </reference>
          <reference field="9" count="1" selected="0">
            <x v="4"/>
          </reference>
        </references>
      </pivotArea>
    </format>
    <format dxfId="447">
      <pivotArea collapsedLevelsAreSubtotals="1" fieldPosition="0">
        <references count="3">
          <reference field="2" count="1" selected="0">
            <x v="0"/>
          </reference>
          <reference field="4" count="5">
            <x v="3"/>
            <x v="4"/>
            <x v="5"/>
            <x v="6"/>
            <x v="7"/>
          </reference>
          <reference field="9" count="1" selected="0">
            <x v="4"/>
          </reference>
        </references>
      </pivotArea>
    </format>
    <format dxfId="446">
      <pivotArea collapsedLevelsAreSubtotals="1" fieldPosition="0">
        <references count="2">
          <reference field="2" count="1">
            <x v="1"/>
          </reference>
          <reference field="9" count="1" selected="0">
            <x v="4"/>
          </reference>
        </references>
      </pivotArea>
    </format>
    <format dxfId="445">
      <pivotArea collapsedLevelsAreSubtotals="1" fieldPosition="0">
        <references count="3">
          <reference field="2" count="1" selected="0">
            <x v="1"/>
          </reference>
          <reference field="4" count="4">
            <x v="0"/>
            <x v="1"/>
            <x v="2"/>
            <x v="8"/>
          </reference>
          <reference field="9" count="1" selected="0">
            <x v="4"/>
          </reference>
        </references>
      </pivotArea>
    </format>
    <format dxfId="444">
      <pivotArea dataOnly="0" labelOnly="1" fieldPosition="0">
        <references count="1">
          <reference field="9" count="1">
            <x v="4"/>
          </reference>
        </references>
      </pivotArea>
    </format>
    <format dxfId="443">
      <pivotArea collapsedLevelsAreSubtotals="1" fieldPosition="0">
        <references count="2">
          <reference field="2" count="1">
            <x v="0"/>
          </reference>
          <reference field="9" count="1" selected="0">
            <x v="4"/>
          </reference>
        </references>
      </pivotArea>
    </format>
    <format dxfId="442">
      <pivotArea collapsedLevelsAreSubtotals="1" fieldPosition="0">
        <references count="3">
          <reference field="2" count="1" selected="0">
            <x v="0"/>
          </reference>
          <reference field="4" count="5">
            <x v="3"/>
            <x v="4"/>
            <x v="5"/>
            <x v="6"/>
            <x v="7"/>
          </reference>
          <reference field="9" count="1" selected="0">
            <x v="4"/>
          </reference>
        </references>
      </pivotArea>
    </format>
    <format dxfId="441">
      <pivotArea collapsedLevelsAreSubtotals="1" fieldPosition="0">
        <references count="2">
          <reference field="2" count="1">
            <x v="1"/>
          </reference>
          <reference field="9" count="1" selected="0">
            <x v="4"/>
          </reference>
        </references>
      </pivotArea>
    </format>
    <format dxfId="440">
      <pivotArea collapsedLevelsAreSubtotals="1" fieldPosition="0">
        <references count="3">
          <reference field="2" count="1" selected="0">
            <x v="1"/>
          </reference>
          <reference field="4" count="4">
            <x v="0"/>
            <x v="1"/>
            <x v="2"/>
            <x v="8"/>
          </reference>
          <reference field="9" count="1" selected="0">
            <x v="4"/>
          </reference>
        </references>
      </pivotArea>
    </format>
    <format dxfId="439">
      <pivotArea dataOnly="0" labelOnly="1" fieldPosition="0">
        <references count="1">
          <reference field="9" count="1">
            <x v="4"/>
          </reference>
        </references>
      </pivotArea>
    </format>
    <format dxfId="438">
      <pivotArea collapsedLevelsAreSubtotals="1" fieldPosition="0">
        <references count="2">
          <reference field="2" count="1" selected="0">
            <x v="1"/>
          </reference>
          <reference field="4" count="3">
            <x v="10"/>
            <x v="11"/>
            <x v="12"/>
          </reference>
        </references>
      </pivotArea>
    </format>
    <format dxfId="437">
      <pivotArea grandRow="1" outline="0" collapsedLevelsAreSubtotals="1" fieldPosition="0"/>
    </format>
    <format dxfId="436">
      <pivotArea dataOnly="0" labelOnly="1" grandRow="1" outline="0" fieldPosition="0"/>
    </format>
    <format dxfId="435">
      <pivotArea dataOnly="0" labelOnly="1" fieldPosition="0">
        <references count="2">
          <reference field="2" count="1" selected="0">
            <x v="1"/>
          </reference>
          <reference field="4" count="3">
            <x v="10"/>
            <x v="11"/>
            <x v="12"/>
          </reference>
        </references>
      </pivotArea>
    </format>
    <format dxfId="434">
      <pivotArea collapsedLevelsAreSubtotals="1" fieldPosition="0">
        <references count="3">
          <reference field="2" count="1" selected="0">
            <x v="1"/>
          </reference>
          <reference field="4" count="1">
            <x v="8"/>
          </reference>
          <reference field="9" count="1" selected="0">
            <x v="0"/>
          </reference>
        </references>
      </pivotArea>
    </format>
    <format dxfId="433">
      <pivotArea dataOnly="0" labelOnly="1" fieldPosition="0">
        <references count="2">
          <reference field="2" count="1" selected="0">
            <x v="1"/>
          </reference>
          <reference field="4" count="7">
            <x v="1"/>
            <x v="2"/>
            <x v="3"/>
            <x v="8"/>
            <x v="10"/>
            <x v="11"/>
            <x v="12"/>
          </reference>
        </references>
      </pivotArea>
    </format>
    <format dxfId="432">
      <pivotArea dataOnly="0" labelOnly="1" fieldPosition="0">
        <references count="1">
          <reference field="9" count="1">
            <x v="6"/>
          </reference>
        </references>
      </pivotArea>
    </format>
    <format dxfId="431">
      <pivotArea dataOnly="0" labelOnly="1" fieldPosition="0">
        <references count="1">
          <reference field="2" count="0"/>
        </references>
      </pivotArea>
    </format>
    <format dxfId="430">
      <pivotArea dataOnly="0" labelOnly="1" grandRow="1" outline="0" fieldPosition="0"/>
    </format>
    <format dxfId="429">
      <pivotArea dataOnly="0" labelOnly="1" fieldPosition="0">
        <references count="2">
          <reference field="2" count="1" selected="0">
            <x v="0"/>
          </reference>
          <reference field="4" count="5">
            <x v="3"/>
            <x v="4"/>
            <x v="5"/>
            <x v="6"/>
            <x v="7"/>
          </reference>
        </references>
      </pivotArea>
    </format>
    <format dxfId="428">
      <pivotArea dataOnly="0" labelOnly="1" fieldPosition="0">
        <references count="2">
          <reference field="2" count="1" selected="0">
            <x v="1"/>
          </reference>
          <reference field="4" count="7">
            <x v="1"/>
            <x v="2"/>
            <x v="3"/>
            <x v="8"/>
            <x v="10"/>
            <x v="11"/>
            <x v="12"/>
          </reference>
        </references>
      </pivotArea>
    </format>
    <format dxfId="427">
      <pivotArea field="4" grandCol="1" collapsedLevelsAreSubtotals="1" axis="axisRow" fieldPosition="1">
        <references count="2">
          <reference field="2" count="1" selected="0">
            <x v="1"/>
          </reference>
          <reference field="4" count="1">
            <x v="3"/>
          </reference>
        </references>
      </pivotArea>
    </format>
    <format dxfId="426">
      <pivotArea field="4" grandCol="1" collapsedLevelsAreSubtotals="1" axis="axisRow" fieldPosition="1">
        <references count="2">
          <reference field="2" count="1" selected="0">
            <x v="1"/>
          </reference>
          <reference field="4" count="1">
            <x v="2"/>
          </reference>
        </references>
      </pivotArea>
    </format>
    <format dxfId="425">
      <pivotArea dataOnly="0" labelOnly="1" fieldPosition="0">
        <references count="1">
          <reference field="9" count="1">
            <x v="5"/>
          </reference>
        </references>
      </pivotArea>
    </format>
    <format dxfId="424">
      <pivotArea dataOnly="0" labelOnly="1" fieldPosition="0">
        <references count="1">
          <reference field="9" count="1">
            <x v="7"/>
          </reference>
        </references>
      </pivotArea>
    </format>
    <format dxfId="423">
      <pivotArea dataOnly="0" labelOnly="1" fieldPosition="0">
        <references count="1">
          <reference field="9" count="1">
            <x v="8"/>
          </reference>
        </references>
      </pivotArea>
    </format>
    <format dxfId="422">
      <pivotArea outline="0" collapsedLevelsAreSubtotals="1" fieldPosition="0">
        <references count="1">
          <reference field="9" count="1" selected="0">
            <x v="5"/>
          </reference>
        </references>
      </pivotArea>
    </format>
    <format dxfId="421">
      <pivotArea outline="0" collapsedLevelsAreSubtotals="1" fieldPosition="0">
        <references count="1">
          <reference field="9" count="1" selected="0">
            <x v="6"/>
          </reference>
        </references>
      </pivotArea>
    </format>
    <format dxfId="420">
      <pivotArea outline="0" collapsedLevelsAreSubtotals="1" fieldPosition="0">
        <references count="1">
          <reference field="9" count="1" selected="0">
            <x v="7"/>
          </reference>
        </references>
      </pivotArea>
    </format>
    <format dxfId="419">
      <pivotArea outline="0" collapsedLevelsAreSubtotals="1" fieldPosition="0">
        <references count="1">
          <reference field="9" count="1" selected="0">
            <x v="8"/>
          </reference>
        </references>
      </pivotArea>
    </format>
    <format dxfId="418">
      <pivotArea field="9" grandRow="1" outline="0" collapsedLevelsAreSubtotals="1" axis="axisCol" fieldPosition="0">
        <references count="1">
          <reference field="9" count="1" selected="0">
            <x v="5"/>
          </reference>
        </references>
      </pivotArea>
    </format>
    <format dxfId="417">
      <pivotArea type="origin" dataOnly="0" labelOnly="1" outline="0" fieldPosition="0"/>
    </format>
    <format dxfId="416">
      <pivotArea type="origin" dataOnly="0" labelOnly="1" outline="0" fieldPosition="0"/>
    </format>
    <format dxfId="415">
      <pivotArea field="9" grandRow="1" outline="0" collapsedLevelsAreSubtotals="1" axis="axisCol" fieldPosition="0">
        <references count="1">
          <reference field="9" count="1" selected="0">
            <x v="5"/>
          </reference>
        </references>
      </pivotArea>
    </format>
  </formats>
  <pivotTableStyleInfo name="PivotStyleLight16" showRowHeaders="1" showColHeaders="1" showRowStripes="0" showColStripes="0" showLastColumn="1"/>
  <filters count="1">
    <filter fld="4"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4C9C04-B087-7646-9A1B-B1D2D540CC60}" name="PROJECTED_INCOME_PER_CLUB" cacheId="158" applyNumberFormats="0" applyBorderFormats="0" applyFontFormats="0" applyPatternFormats="0" applyAlignmentFormats="0" applyWidthHeightFormats="1" dataCaption="Values" updatedVersion="8" minRefreshableVersion="3" useAutoFormatting="1" itemPrintTitles="1" createdVersion="8" indent="0" outline="1" outlineData="1" chartFormat="25">
  <location ref="A62:F70" firstHeaderRow="1" firstDataRow="2" firstDataCol="1" rowPageCount="1" colPageCount="1"/>
  <pivotFields count="14">
    <pivotField showAll="0"/>
    <pivotField showAll="0"/>
    <pivotField axis="axisRow" showAll="0">
      <items count="3">
        <item x="0"/>
        <item x="1"/>
        <item t="default"/>
      </items>
    </pivotField>
    <pivotField showAll="0"/>
    <pivotField axis="axisRow" showAll="0" measureFilter="1" sortType="ascending">
      <items count="14">
        <item x="5"/>
        <item x="6"/>
        <item x="7"/>
        <item x="8"/>
        <item x="9"/>
        <item x="10"/>
        <item x="11"/>
        <item x="0"/>
        <item x="1"/>
        <item x="2"/>
        <item x="3"/>
        <item x="4"/>
        <item m="1" x="12"/>
        <item t="default"/>
      </items>
    </pivotField>
    <pivotField numFmtId="14" showAll="0"/>
    <pivotField showAll="0"/>
    <pivotField showAll="0"/>
    <pivotField axis="axisPage" multipleItemSelectionAllowed="1" showAll="0">
      <items count="5">
        <item h="1" x="0"/>
        <item h="1" x="1"/>
        <item x="2"/>
        <item h="1" m="1" x="3"/>
        <item t="default"/>
      </items>
    </pivotField>
    <pivotField axis="axisCol" showAll="0">
      <items count="10">
        <item m="1" x="4"/>
        <item m="1" x="5"/>
        <item m="1" x="6"/>
        <item m="1" x="7"/>
        <item m="1" x="8"/>
        <item x="0"/>
        <item x="1"/>
        <item x="2"/>
        <item x="3"/>
        <item t="default"/>
      </items>
    </pivotField>
    <pivotField dataField="1" showAll="0"/>
    <pivotField dragToRow="0" dragToCol="0" dragToPage="0" showAll="0" defaultSubtotal="0"/>
    <pivotField dragToRow="0" dragToCol="0" dragToPage="0" showAll="0" defaultSubtotal="0"/>
    <pivotField dragToRow="0" dragToCol="0" dragToPage="0" showAll="0" defaultSubtotal="0"/>
  </pivotFields>
  <rowFields count="2">
    <field x="2"/>
    <field x="4"/>
  </rowFields>
  <rowItems count="7">
    <i>
      <x v="1"/>
    </i>
    <i r="1">
      <x v="3"/>
    </i>
    <i r="1">
      <x v="4"/>
    </i>
    <i r="1">
      <x v="5"/>
    </i>
    <i r="1">
      <x v="6"/>
    </i>
    <i r="1">
      <x v="7"/>
    </i>
    <i t="grand">
      <x/>
    </i>
  </rowItems>
  <colFields count="1">
    <field x="9"/>
  </colFields>
  <colItems count="5">
    <i>
      <x v="5"/>
    </i>
    <i>
      <x v="6"/>
    </i>
    <i>
      <x v="7"/>
    </i>
    <i>
      <x v="8"/>
    </i>
    <i t="grand">
      <x/>
    </i>
  </colItems>
  <pageFields count="1">
    <pageField fld="8" hier="-1"/>
  </pageFields>
  <dataFields count="1">
    <dataField name="Sum of Amount" fld="10" baseField="0" baseItem="0" numFmtId="164"/>
  </dataFields>
  <formats count="13">
    <format dxfId="354">
      <pivotArea outline="0" collapsedLevelsAreSubtotals="1" fieldPosition="0"/>
    </format>
    <format dxfId="353">
      <pivotArea collapsedLevelsAreSubtotals="1" fieldPosition="0">
        <references count="2">
          <reference field="2" count="1">
            <x v="1"/>
          </reference>
          <reference field="9" count="1" selected="0">
            <x v="1"/>
          </reference>
        </references>
      </pivotArea>
    </format>
    <format dxfId="352">
      <pivotArea type="all" dataOnly="0" outline="0" fieldPosition="0"/>
    </format>
    <format dxfId="351">
      <pivotArea outline="0" collapsedLevelsAreSubtotals="1" fieldPosition="0"/>
    </format>
    <format dxfId="350">
      <pivotArea type="origin" dataOnly="0" labelOnly="1" outline="0" fieldPosition="0"/>
    </format>
    <format dxfId="349">
      <pivotArea field="9" type="button" dataOnly="0" labelOnly="1" outline="0" axis="axisCol" fieldPosition="0"/>
    </format>
    <format dxfId="348">
      <pivotArea type="topRight" dataOnly="0" labelOnly="1" outline="0" fieldPosition="0"/>
    </format>
    <format dxfId="347">
      <pivotArea field="2" type="button" dataOnly="0" labelOnly="1" outline="0" axis="axisRow" fieldPosition="0"/>
    </format>
    <format dxfId="346">
      <pivotArea dataOnly="0" labelOnly="1" fieldPosition="0">
        <references count="1">
          <reference field="2" count="1">
            <x v="1"/>
          </reference>
        </references>
      </pivotArea>
    </format>
    <format dxfId="345">
      <pivotArea dataOnly="0" labelOnly="1" grandRow="1" outline="0" fieldPosition="0"/>
    </format>
    <format dxfId="344">
      <pivotArea dataOnly="0" labelOnly="1" fieldPosition="0">
        <references count="2">
          <reference field="2" count="1" selected="0">
            <x v="1"/>
          </reference>
          <reference field="4" count="5">
            <x v="3"/>
            <x v="4"/>
            <x v="5"/>
            <x v="6"/>
            <x v="7"/>
          </reference>
        </references>
      </pivotArea>
    </format>
    <format dxfId="343">
      <pivotArea dataOnly="0" labelOnly="1" fieldPosition="0">
        <references count="1">
          <reference field="9" count="0"/>
        </references>
      </pivotArea>
    </format>
    <format dxfId="342">
      <pivotArea dataOnly="0" labelOnly="1" grandCol="1" outline="0" fieldPosition="0"/>
    </format>
  </formats>
  <chartFormats count="22">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2">
          <reference field="4294967294" count="1" selected="0">
            <x v="0"/>
          </reference>
          <reference field="9" count="1" selected="0">
            <x v="1"/>
          </reference>
        </references>
      </pivotArea>
    </chartFormat>
    <chartFormat chart="6" format="14" series="1">
      <pivotArea type="data" outline="0" fieldPosition="0">
        <references count="2">
          <reference field="4294967294" count="1" selected="0">
            <x v="0"/>
          </reference>
          <reference field="9" count="1" selected="0">
            <x v="2"/>
          </reference>
        </references>
      </pivotArea>
    </chartFormat>
    <chartFormat chart="6" format="15" series="1">
      <pivotArea type="data" outline="0" fieldPosition="0">
        <references count="2">
          <reference field="4294967294" count="1" selected="0">
            <x v="0"/>
          </reference>
          <reference field="9" count="1" selected="0">
            <x v="0"/>
          </reference>
        </references>
      </pivotArea>
    </chartFormat>
    <chartFormat chart="6" format="16">
      <pivotArea type="data" outline="0" fieldPosition="0">
        <references count="4">
          <reference field="4294967294" count="1" selected="0">
            <x v="0"/>
          </reference>
          <reference field="2" count="1" selected="0">
            <x v="0"/>
          </reference>
          <reference field="4" count="1" selected="0">
            <x v="7"/>
          </reference>
          <reference field="9" count="1" selected="0">
            <x v="1"/>
          </reference>
        </references>
      </pivotArea>
    </chartFormat>
    <chartFormat chart="6" format="17">
      <pivotArea type="data" outline="0" fieldPosition="0">
        <references count="4">
          <reference field="4294967294" count="1" selected="0">
            <x v="0"/>
          </reference>
          <reference field="2" count="1" selected="0">
            <x v="0"/>
          </reference>
          <reference field="4" count="1" selected="0">
            <x v="8"/>
          </reference>
          <reference field="9" count="1" selected="0">
            <x v="1"/>
          </reference>
        </references>
      </pivotArea>
    </chartFormat>
    <chartFormat chart="6" format="18">
      <pivotArea type="data" outline="0" fieldPosition="0">
        <references count="4">
          <reference field="4294967294" count="1" selected="0">
            <x v="0"/>
          </reference>
          <reference field="2" count="1" selected="0">
            <x v="0"/>
          </reference>
          <reference field="4" count="1" selected="0">
            <x v="9"/>
          </reference>
          <reference field="9" count="1" selected="0">
            <x v="1"/>
          </reference>
        </references>
      </pivotArea>
    </chartFormat>
    <chartFormat chart="6" format="19">
      <pivotArea type="data" outline="0" fieldPosition="0">
        <references count="4">
          <reference field="4294967294" count="1" selected="0">
            <x v="0"/>
          </reference>
          <reference field="2" count="1" selected="0">
            <x v="0"/>
          </reference>
          <reference field="4" count="1" selected="0">
            <x v="10"/>
          </reference>
          <reference field="9" count="1" selected="0">
            <x v="1"/>
          </reference>
        </references>
      </pivotArea>
    </chartFormat>
    <chartFormat chart="6" format="20">
      <pivotArea type="data" outline="0" fieldPosition="0">
        <references count="4">
          <reference field="4294967294" count="1" selected="0">
            <x v="0"/>
          </reference>
          <reference field="2" count="1" selected="0">
            <x v="0"/>
          </reference>
          <reference field="4" count="1" selected="0">
            <x v="11"/>
          </reference>
          <reference field="9" count="1" selected="0">
            <x v="1"/>
          </reference>
        </references>
      </pivotArea>
    </chartFormat>
    <chartFormat chart="6" format="21">
      <pivotArea type="data" outline="0" fieldPosition="0">
        <references count="4">
          <reference field="4294967294" count="1" selected="0">
            <x v="0"/>
          </reference>
          <reference field="2" count="1" selected="0">
            <x v="1"/>
          </reference>
          <reference field="4" count="1" selected="0">
            <x v="0"/>
          </reference>
          <reference field="9" count="1" selected="0">
            <x v="1"/>
          </reference>
        </references>
      </pivotArea>
    </chartFormat>
    <chartFormat chart="6" format="22">
      <pivotArea type="data" outline="0" fieldPosition="0">
        <references count="4">
          <reference field="4294967294" count="1" selected="0">
            <x v="0"/>
          </reference>
          <reference field="2" count="1" selected="0">
            <x v="1"/>
          </reference>
          <reference field="4" count="1" selected="0">
            <x v="1"/>
          </reference>
          <reference field="9" count="1" selected="0">
            <x v="1"/>
          </reference>
        </references>
      </pivotArea>
    </chartFormat>
    <chartFormat chart="6" format="23">
      <pivotArea type="data" outline="0" fieldPosition="0">
        <references count="4">
          <reference field="4294967294" count="1" selected="0">
            <x v="0"/>
          </reference>
          <reference field="2" count="1" selected="0">
            <x v="1"/>
          </reference>
          <reference field="4" count="1" selected="0">
            <x v="2"/>
          </reference>
          <reference field="9" count="1" selected="0">
            <x v="1"/>
          </reference>
        </references>
      </pivotArea>
    </chartFormat>
    <chartFormat chart="6" format="24" series="1">
      <pivotArea type="data" outline="0" fieldPosition="0">
        <references count="2">
          <reference field="4294967294" count="1" selected="0">
            <x v="0"/>
          </reference>
          <reference field="9" count="1" selected="0">
            <x v="3"/>
          </reference>
        </references>
      </pivotArea>
    </chartFormat>
    <chartFormat chart="18" format="46" series="1">
      <pivotArea type="data" outline="0" fieldPosition="0">
        <references count="2">
          <reference field="4294967294" count="1" selected="0">
            <x v="0"/>
          </reference>
          <reference field="9" count="1" selected="0">
            <x v="5"/>
          </reference>
        </references>
      </pivotArea>
    </chartFormat>
    <chartFormat chart="18" format="47" series="1">
      <pivotArea type="data" outline="0" fieldPosition="0">
        <references count="2">
          <reference field="4294967294" count="1" selected="0">
            <x v="0"/>
          </reference>
          <reference field="9" count="1" selected="0">
            <x v="6"/>
          </reference>
        </references>
      </pivotArea>
    </chartFormat>
    <chartFormat chart="18" format="48" series="1">
      <pivotArea type="data" outline="0" fieldPosition="0">
        <references count="2">
          <reference field="4294967294" count="1" selected="0">
            <x v="0"/>
          </reference>
          <reference field="9" count="1" selected="0">
            <x v="7"/>
          </reference>
        </references>
      </pivotArea>
    </chartFormat>
    <chartFormat chart="18" format="49">
      <pivotArea type="data" outline="0" fieldPosition="0">
        <references count="4">
          <reference field="4294967294" count="1" selected="0">
            <x v="0"/>
          </reference>
          <reference field="2" count="1" selected="0">
            <x v="1"/>
          </reference>
          <reference field="4" count="1" selected="0">
            <x v="7"/>
          </reference>
          <reference field="9" count="1" selected="0">
            <x v="7"/>
          </reference>
        </references>
      </pivotArea>
    </chartFormat>
    <chartFormat chart="18" format="50" series="1">
      <pivotArea type="data" outline="0" fieldPosition="0">
        <references count="2">
          <reference field="4294967294" count="1" selected="0">
            <x v="0"/>
          </reference>
          <reference field="9" count="1" selected="0">
            <x v="8"/>
          </reference>
        </references>
      </pivotArea>
    </chartFormat>
    <chartFormat chart="18" format="51">
      <pivotArea type="data" outline="0" fieldPosition="0">
        <references count="4">
          <reference field="4294967294" count="1" selected="0">
            <x v="0"/>
          </reference>
          <reference field="2" count="1" selected="0">
            <x v="1"/>
          </reference>
          <reference field="4" count="1" selected="0">
            <x v="6"/>
          </reference>
          <reference field="9" count="1" selected="0">
            <x v="7"/>
          </reference>
        </references>
      </pivotArea>
    </chartFormat>
    <chartFormat chart="18" format="52">
      <pivotArea type="data" outline="0" fieldPosition="0">
        <references count="4">
          <reference field="4294967294" count="1" selected="0">
            <x v="0"/>
          </reference>
          <reference field="2" count="1" selected="0">
            <x v="1"/>
          </reference>
          <reference field="4" count="1" selected="0">
            <x v="5"/>
          </reference>
          <reference field="9" count="1" selected="0">
            <x v="7"/>
          </reference>
        </references>
      </pivotArea>
    </chartFormat>
    <chartFormat chart="18" format="53" series="1">
      <pivotArea type="data" outline="0" fieldPosition="0">
        <references count="1">
          <reference field="4294967294" count="1" selected="0">
            <x v="0"/>
          </reference>
        </references>
      </pivotArea>
    </chartFormat>
    <chartFormat chart="18" format="54">
      <pivotArea type="data" outline="0" fieldPosition="0">
        <references count="4">
          <reference field="4294967294" count="1" selected="0">
            <x v="0"/>
          </reference>
          <reference field="2" count="1" selected="0">
            <x v="1"/>
          </reference>
          <reference field="4" count="1" selected="0">
            <x v="6"/>
          </reference>
          <reference field="9" count="1" selected="0">
            <x v="5"/>
          </reference>
        </references>
      </pivotArea>
    </chartFormat>
  </chartFormats>
  <pivotTableStyleInfo name="PivotStyleLight16" showRowHeaders="1" showColHeaders="1" showRowStripes="0" showColStripes="0" showLastColumn="1"/>
  <filters count="1">
    <filter fld="4"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2372A5-EFFC-AF41-A8C8-25DC43A18AB7}" name="Monthly_Income_x000d__x000a_"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D43" firstHeaderRow="1" firstDataRow="2" firstDataCol="1"/>
  <pivotFields count="14">
    <pivotField showAll="0"/>
    <pivotField showAll="0"/>
    <pivotField axis="axisRow" showAll="0">
      <items count="3">
        <item x="0"/>
        <item x="1"/>
        <item t="default"/>
      </items>
    </pivotField>
    <pivotField showAll="0"/>
    <pivotField axis="axisRow" showAll="0" sortType="ascending">
      <items count="14">
        <item x="5"/>
        <item x="6"/>
        <item x="7"/>
        <item x="8"/>
        <item x="9"/>
        <item x="10"/>
        <item x="11"/>
        <item x="0"/>
        <item x="1"/>
        <item x="2"/>
        <item x="3"/>
        <item x="4"/>
        <item m="1" x="12"/>
        <item t="default"/>
      </items>
    </pivotField>
    <pivotField numFmtId="14" showAll="0"/>
    <pivotField showAll="0"/>
    <pivotField showAll="0"/>
    <pivotField axis="axisCol" showAll="0" measureFilter="1">
      <items count="5">
        <item x="0"/>
        <item x="1"/>
        <item h="1" x="2"/>
        <item m="1" x="3"/>
        <item t="default"/>
      </items>
    </pivotField>
    <pivotField showAll="0">
      <items count="10">
        <item m="1" x="7"/>
        <item m="1" x="4"/>
        <item x="0"/>
        <item x="1"/>
        <item m="1" x="5"/>
        <item m="1" x="6"/>
        <item x="2"/>
        <item x="3"/>
        <item m="1" x="8"/>
        <item t="default"/>
      </items>
    </pivotField>
    <pivotField showAll="0"/>
    <pivotField dataField="1" dragToRow="0" dragToCol="0" dragToPage="0" showAll="0" defaultSubtotal="0"/>
    <pivotField dragToRow="0" dragToCol="0" dragToPage="0" showAll="0" defaultSubtotal="0"/>
    <pivotField dragToRow="0" dragToCol="0" dragToPage="0" showAll="0" defaultSubtotal="0"/>
  </pivotFields>
  <rowFields count="2">
    <field x="2"/>
    <field x="4"/>
  </rowFields>
  <rowItems count="14">
    <i>
      <x/>
    </i>
    <i r="1">
      <x v="7"/>
    </i>
    <i r="1">
      <x v="8"/>
    </i>
    <i r="1">
      <x v="9"/>
    </i>
    <i r="1">
      <x v="10"/>
    </i>
    <i r="1">
      <x v="11"/>
    </i>
    <i>
      <x v="1"/>
    </i>
    <i r="1">
      <x/>
    </i>
    <i r="1">
      <x v="1"/>
    </i>
    <i r="1">
      <x v="2"/>
    </i>
    <i r="1">
      <x v="3"/>
    </i>
    <i r="1">
      <x v="4"/>
    </i>
    <i r="1">
      <x v="5"/>
    </i>
    <i t="grand">
      <x/>
    </i>
  </rowItems>
  <colFields count="1">
    <field x="8"/>
  </colFields>
  <colItems count="3">
    <i>
      <x/>
    </i>
    <i>
      <x v="1"/>
    </i>
    <i t="grand">
      <x/>
    </i>
  </colItems>
  <dataFields count="1">
    <dataField name="Sum of Paid Positive" fld="11" baseField="0" baseItem="0" numFmtId="165"/>
  </dataFields>
  <formats count="16">
    <format dxfId="370">
      <pivotArea outline="0" collapsedLevelsAreSubtotals="1" fieldPosition="0"/>
    </format>
    <format dxfId="369">
      <pivotArea outline="0" collapsedLevelsAreSubtotals="1" fieldPosition="0">
        <references count="1">
          <reference field="8" count="1" selected="0">
            <x v="1"/>
          </reference>
        </references>
      </pivotArea>
    </format>
    <format dxfId="368">
      <pivotArea collapsedLevelsAreSubtotals="1" fieldPosition="0">
        <references count="3">
          <reference field="2" count="1" selected="0">
            <x v="0"/>
          </reference>
          <reference field="4" count="1">
            <x v="9"/>
          </reference>
          <reference field="8" count="1" selected="0">
            <x v="1"/>
          </reference>
        </references>
      </pivotArea>
    </format>
    <format dxfId="367">
      <pivotArea outline="0" fieldPosition="0">
        <references count="1">
          <reference field="4294967294" count="1">
            <x v="0"/>
          </reference>
        </references>
      </pivotArea>
    </format>
    <format dxfId="366">
      <pivotArea type="all" dataOnly="0" outline="0" fieldPosition="0"/>
    </format>
    <format dxfId="365">
      <pivotArea outline="0" collapsedLevelsAreSubtotals="1" fieldPosition="0"/>
    </format>
    <format dxfId="364">
      <pivotArea type="origin" dataOnly="0" labelOnly="1" outline="0" fieldPosition="0"/>
    </format>
    <format dxfId="363">
      <pivotArea field="8" type="button" dataOnly="0" labelOnly="1" outline="0" axis="axisCol" fieldPosition="0"/>
    </format>
    <format dxfId="362">
      <pivotArea type="topRight" dataOnly="0" labelOnly="1" outline="0" fieldPosition="0"/>
    </format>
    <format dxfId="361">
      <pivotArea field="2" type="button" dataOnly="0" labelOnly="1" outline="0" axis="axisRow" fieldPosition="0"/>
    </format>
    <format dxfId="360">
      <pivotArea dataOnly="0" labelOnly="1" fieldPosition="0">
        <references count="1">
          <reference field="2" count="0"/>
        </references>
      </pivotArea>
    </format>
    <format dxfId="359">
      <pivotArea dataOnly="0" labelOnly="1" grandRow="1" outline="0" fieldPosition="0"/>
    </format>
    <format dxfId="358">
      <pivotArea dataOnly="0" labelOnly="1" fieldPosition="0">
        <references count="2">
          <reference field="2" count="1" selected="0">
            <x v="0"/>
          </reference>
          <reference field="4" count="5">
            <x v="7"/>
            <x v="8"/>
            <x v="9"/>
            <x v="10"/>
            <x v="11"/>
          </reference>
        </references>
      </pivotArea>
    </format>
    <format dxfId="357">
      <pivotArea dataOnly="0" labelOnly="1" fieldPosition="0">
        <references count="2">
          <reference field="2" count="1" selected="0">
            <x v="1"/>
          </reference>
          <reference field="4" count="4">
            <x v="0"/>
            <x v="1"/>
            <x v="2"/>
            <x v="3"/>
          </reference>
        </references>
      </pivotArea>
    </format>
    <format dxfId="356">
      <pivotArea dataOnly="0" labelOnly="1" fieldPosition="0">
        <references count="1">
          <reference field="8" count="0"/>
        </references>
      </pivotArea>
    </format>
    <format dxfId="355">
      <pivotArea dataOnly="0" labelOnly="1" grandCol="1" outline="0" fieldPosition="0"/>
    </format>
  </formats>
  <chartFormats count="8">
    <chartFormat chart="6" format="23" series="1">
      <pivotArea type="data" outline="0" fieldPosition="0">
        <references count="2">
          <reference field="4294967294" count="1" selected="0">
            <x v="0"/>
          </reference>
          <reference field="8" count="1" selected="0">
            <x v="1"/>
          </reference>
        </references>
      </pivotArea>
    </chartFormat>
    <chartFormat chart="6" format="24" series="1">
      <pivotArea type="data" outline="0" fieldPosition="0">
        <references count="2">
          <reference field="4294967294" count="1" selected="0">
            <x v="0"/>
          </reference>
          <reference field="8" count="1" selected="0">
            <x v="0"/>
          </reference>
        </references>
      </pivotArea>
    </chartFormat>
    <chartFormat chart="6" format="25">
      <pivotArea type="data" outline="0" fieldPosition="0">
        <references count="4">
          <reference field="4294967294" count="1" selected="0">
            <x v="0"/>
          </reference>
          <reference field="2" count="1" selected="0">
            <x v="0"/>
          </reference>
          <reference field="4" count="1" selected="0">
            <x v="7"/>
          </reference>
          <reference field="8" count="1" selected="0">
            <x v="0"/>
          </reference>
        </references>
      </pivotArea>
    </chartFormat>
    <chartFormat chart="6" format="26">
      <pivotArea type="data" outline="0" fieldPosition="0">
        <references count="4">
          <reference field="4294967294" count="1" selected="0">
            <x v="0"/>
          </reference>
          <reference field="2" count="1" selected="0">
            <x v="0"/>
          </reference>
          <reference field="4" count="1" selected="0">
            <x v="8"/>
          </reference>
          <reference field="8" count="1" selected="0">
            <x v="0"/>
          </reference>
        </references>
      </pivotArea>
    </chartFormat>
    <chartFormat chart="6" format="27">
      <pivotArea type="data" outline="0" fieldPosition="0">
        <references count="4">
          <reference field="4294967294" count="1" selected="0">
            <x v="0"/>
          </reference>
          <reference field="2" count="1" selected="0">
            <x v="0"/>
          </reference>
          <reference field="4" count="1" selected="0">
            <x v="9"/>
          </reference>
          <reference field="8" count="1" selected="0">
            <x v="1"/>
          </reference>
        </references>
      </pivotArea>
    </chartFormat>
    <chartFormat chart="6" format="28">
      <pivotArea type="data" outline="0" fieldPosition="0">
        <references count="4">
          <reference field="4294967294" count="1" selected="0">
            <x v="0"/>
          </reference>
          <reference field="2" count="1" selected="0">
            <x v="0"/>
          </reference>
          <reference field="4" count="1" selected="0">
            <x v="9"/>
          </reference>
          <reference field="8" count="1" selected="0">
            <x v="0"/>
          </reference>
        </references>
      </pivotArea>
    </chartFormat>
    <chartFormat chart="6" format="31" series="1">
      <pivotArea type="data" outline="0" fieldPosition="0">
        <references count="1">
          <reference field="4294967294" count="1" selected="0">
            <x v="0"/>
          </reference>
        </references>
      </pivotArea>
    </chartFormat>
    <chartFormat chart="6" format="3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8" type="valueGreaterThan" evalOrder="-1" id="5"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3E6FC1-0A6F-CC44-9CE3-6CD07246D195}" name="Estimated"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57" firstHeaderRow="1" firstDataRow="1" firstDataCol="1"/>
  <pivotFields count="14">
    <pivotField showAll="0"/>
    <pivotField showAll="0"/>
    <pivotField showAll="0">
      <items count="3">
        <item x="0"/>
        <item x="1"/>
        <item t="default"/>
      </items>
    </pivotField>
    <pivotField showAll="0"/>
    <pivotField showAll="0">
      <items count="14">
        <item x="5"/>
        <item x="6"/>
        <item x="7"/>
        <item x="8"/>
        <item x="9"/>
        <item x="10"/>
        <item x="11"/>
        <item x="0"/>
        <item x="1"/>
        <item x="2"/>
        <item x="3"/>
        <item x="4"/>
        <item m="1" x="12"/>
        <item t="default"/>
      </items>
    </pivotField>
    <pivotField showAll="0"/>
    <pivotField showAll="0"/>
    <pivotField showAll="0"/>
    <pivotField axis="axisRow" showAll="0">
      <items count="5">
        <item x="2"/>
        <item h="1" x="0"/>
        <item h="1" x="1"/>
        <item h="1" m="1" x="3"/>
        <item t="default"/>
      </items>
    </pivotField>
    <pivotField showAll="0">
      <items count="10">
        <item m="1" x="7"/>
        <item m="1" x="4"/>
        <item x="0"/>
        <item x="1"/>
        <item m="1" x="5"/>
        <item m="1" x="6"/>
        <item x="2"/>
        <item x="3"/>
        <item m="1" x="8"/>
        <item t="default"/>
      </items>
    </pivotField>
    <pivotField dataField="1" numFmtId="164"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2">
    <i>
      <x/>
    </i>
    <i t="grand">
      <x/>
    </i>
  </rowItems>
  <colItems count="1">
    <i/>
  </colItems>
  <dataFields count="1">
    <dataField name="Sum of Amount" fld="10" baseField="0" baseItem="0" numFmtId="164"/>
  </dataFields>
  <formats count="6">
    <format dxfId="376">
      <pivotArea type="all" dataOnly="0" outline="0" fieldPosition="0"/>
    </format>
    <format dxfId="375">
      <pivotArea outline="0" collapsedLevelsAreSubtotals="1" fieldPosition="0"/>
    </format>
    <format dxfId="374">
      <pivotArea field="8" type="button" dataOnly="0" labelOnly="1" outline="0" axis="axisRow" fieldPosition="0"/>
    </format>
    <format dxfId="373">
      <pivotArea dataOnly="0" labelOnly="1" fieldPosition="0">
        <references count="1">
          <reference field="8" count="0"/>
        </references>
      </pivotArea>
    </format>
    <format dxfId="372">
      <pivotArea dataOnly="0" labelOnly="1" grandRow="1" outline="0" fieldPosition="0"/>
    </format>
    <format dxfId="3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89BD9F-59BC-0146-9045-E61B2C5C1F5F}" name="KPIs"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F24" firstHeaderRow="1" firstDataRow="3" firstDataCol="0"/>
  <pivotFields count="14">
    <pivotField showAll="0"/>
    <pivotField showAll="0"/>
    <pivotField showAll="0">
      <items count="3">
        <item x="0"/>
        <item x="1"/>
        <item t="default"/>
      </items>
    </pivotField>
    <pivotField showAll="0"/>
    <pivotField showAll="0">
      <items count="14">
        <item x="5"/>
        <item x="6"/>
        <item x="7"/>
        <item x="8"/>
        <item x="9"/>
        <item x="10"/>
        <item x="11"/>
        <item x="0"/>
        <item x="1"/>
        <item x="2"/>
        <item x="3"/>
        <item x="4"/>
        <item m="1" x="12"/>
        <item t="default"/>
      </items>
    </pivotField>
    <pivotField numFmtId="14" showAll="0"/>
    <pivotField showAll="0"/>
    <pivotField showAll="0"/>
    <pivotField axis="axisCol" showAll="0">
      <items count="5">
        <item x="0"/>
        <item x="1"/>
        <item h="1" x="2"/>
        <item h="1" m="1" x="3"/>
        <item t="default"/>
      </items>
    </pivotField>
    <pivotField showAll="0">
      <items count="10">
        <item m="1" x="7"/>
        <item m="1" x="4"/>
        <item x="0"/>
        <item x="1"/>
        <item m="1" x="5"/>
        <item m="1" x="6"/>
        <item x="2"/>
        <item x="3"/>
        <item m="1" x="8"/>
        <item t="default"/>
      </items>
    </pivotField>
    <pivotField numFmtId="164" showAll="0"/>
    <pivotField dragToRow="0" dragToCol="0" dragToPage="0" showAll="0" defaultSubtotal="0"/>
    <pivotField dragToRow="0" dragToCol="0" dragToPage="0" showAll="0" defaultSubtotal="0"/>
    <pivotField dataField="1" dragToRow="0" dragToCol="0" dragToPage="0" showAll="0" defaultSubtotal="0"/>
  </pivotFields>
  <rowItems count="1">
    <i/>
  </rowItems>
  <colFields count="2">
    <field x="8"/>
    <field x="-2"/>
  </colFields>
  <colItems count="6">
    <i>
      <x/>
      <x/>
    </i>
    <i r="1" i="1">
      <x v="1"/>
    </i>
    <i>
      <x v="1"/>
      <x/>
    </i>
    <i r="1" i="1">
      <x v="1"/>
    </i>
    <i t="grand">
      <x/>
    </i>
    <i t="grand" i="1">
      <x/>
    </i>
  </colItems>
  <dataFields count="2">
    <dataField name="Sum of Field1" fld="13" baseField="0" baseItem="0"/>
    <dataField name="Sum of Field1_2" fld="13" showDataAs="percent" baseField="8" baseItem="0" numFmtId="10"/>
  </dataFields>
  <formats count="14">
    <format dxfId="390">
      <pivotArea type="all" dataOnly="0" outline="0" fieldPosition="0"/>
    </format>
    <format dxfId="389">
      <pivotArea type="origin" dataOnly="0" labelOnly="1" outline="0" fieldPosition="0"/>
    </format>
    <format dxfId="388">
      <pivotArea dataOnly="0" labelOnly="1" outline="0" axis="axisValues" fieldPosition="0"/>
    </format>
    <format dxfId="387">
      <pivotArea outline="0" fieldPosition="0">
        <references count="1">
          <reference field="4294967294" count="1">
            <x v="1"/>
          </reference>
        </references>
      </pivotArea>
    </format>
    <format dxfId="386">
      <pivotArea type="all" dataOnly="0" outline="0" fieldPosition="0"/>
    </format>
    <format dxfId="385">
      <pivotArea outline="0" collapsedLevelsAreSubtotals="1" fieldPosition="0"/>
    </format>
    <format dxfId="384">
      <pivotArea field="8" type="button" dataOnly="0" labelOnly="1" outline="0" axis="axisCol" fieldPosition="0"/>
    </format>
    <format dxfId="383">
      <pivotArea field="-2" type="button" dataOnly="0" labelOnly="1" outline="0" axis="axisCol" fieldPosition="1"/>
    </format>
    <format dxfId="382">
      <pivotArea type="topRight" dataOnly="0" labelOnly="1" outline="0" fieldPosition="0"/>
    </format>
    <format dxfId="381">
      <pivotArea dataOnly="0" labelOnly="1" fieldPosition="0">
        <references count="1">
          <reference field="8" count="0"/>
        </references>
      </pivotArea>
    </format>
    <format dxfId="380">
      <pivotArea field="8" dataOnly="0" labelOnly="1" grandCol="1" outline="0" axis="axisCol" fieldPosition="0">
        <references count="1">
          <reference field="4294967294" count="1" selected="0">
            <x v="0"/>
          </reference>
        </references>
      </pivotArea>
    </format>
    <format dxfId="379">
      <pivotArea field="8" dataOnly="0" labelOnly="1" grandCol="1" outline="0" axis="axisCol" fieldPosition="0">
        <references count="1">
          <reference field="4294967294" count="1" selected="0">
            <x v="1"/>
          </reference>
        </references>
      </pivotArea>
    </format>
    <format dxfId="378">
      <pivotArea dataOnly="0" labelOnly="1" outline="0" fieldPosition="0">
        <references count="2">
          <reference field="4294967294" count="2">
            <x v="0"/>
            <x v="1"/>
          </reference>
          <reference field="8" count="1" selected="0">
            <x v="0"/>
          </reference>
        </references>
      </pivotArea>
    </format>
    <format dxfId="377">
      <pivotArea dataOnly="0" labelOnly="1" outline="0" fieldPosition="0">
        <references count="2">
          <reference field="4294967294" count="2">
            <x v="0"/>
            <x v="1"/>
          </reference>
          <reference field="8"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9692FE-36DD-3F4A-99DC-15D67EC07FAF}" name="Club-payment" cacheId="158" applyNumberFormats="0" applyBorderFormats="0" applyFontFormats="0" applyPatternFormats="0" applyAlignmentFormats="0" applyWidthHeightFormats="1" dataCaption="Values" updatedVersion="8" minRefreshableVersion="3" useAutoFormatting="1" itemPrintTitles="1" createdVersion="8" indent="0" outline="1" outlineData="1" chartFormat="25">
  <location ref="A4:F17" firstHeaderRow="1" firstDataRow="2" firstDataCol="1" rowPageCount="1" colPageCount="1"/>
  <pivotFields count="14">
    <pivotField showAll="0"/>
    <pivotField showAll="0"/>
    <pivotField axis="axisRow" showAll="0">
      <items count="3">
        <item x="0"/>
        <item x="1"/>
        <item t="default"/>
      </items>
    </pivotField>
    <pivotField showAll="0"/>
    <pivotField axis="axisRow" showAll="0" measureFilter="1" sortType="ascending">
      <items count="14">
        <item x="5"/>
        <item x="6"/>
        <item x="7"/>
        <item x="8"/>
        <item x="9"/>
        <item x="10"/>
        <item x="11"/>
        <item x="0"/>
        <item x="1"/>
        <item x="2"/>
        <item x="3"/>
        <item x="4"/>
        <item m="1" x="12"/>
        <item t="default"/>
      </items>
    </pivotField>
    <pivotField numFmtId="14" showAll="0"/>
    <pivotField showAll="0"/>
    <pivotField showAll="0"/>
    <pivotField axis="axisPage" multipleItemSelectionAllowed="1" showAll="0">
      <items count="5">
        <item x="0"/>
        <item h="1" x="1"/>
        <item h="1" x="2"/>
        <item h="1" m="1" x="3"/>
        <item t="default"/>
      </items>
    </pivotField>
    <pivotField axis="axisCol" showAll="0">
      <items count="10">
        <item m="1" x="4"/>
        <item m="1" x="5"/>
        <item m="1" x="6"/>
        <item m="1" x="7"/>
        <item m="1" x="8"/>
        <item x="0"/>
        <item x="1"/>
        <item x="2"/>
        <item x="3"/>
        <item t="default"/>
      </items>
    </pivotField>
    <pivotField dataField="1" showAll="0"/>
    <pivotField dragToRow="0" dragToCol="0" dragToPage="0" showAll="0" defaultSubtotal="0"/>
    <pivotField dragToRow="0" dragToCol="0" dragToPage="0" showAll="0" defaultSubtotal="0"/>
    <pivotField dragToRow="0" dragToCol="0" dragToPage="0" showAll="0" defaultSubtotal="0"/>
  </pivotFields>
  <rowFields count="2">
    <field x="2"/>
    <field x="4"/>
  </rowFields>
  <rowItems count="12">
    <i>
      <x/>
    </i>
    <i r="1">
      <x v="7"/>
    </i>
    <i r="1">
      <x v="8"/>
    </i>
    <i r="1">
      <x v="9"/>
    </i>
    <i r="1">
      <x v="10"/>
    </i>
    <i r="1">
      <x v="11"/>
    </i>
    <i>
      <x v="1"/>
    </i>
    <i r="1">
      <x/>
    </i>
    <i r="1">
      <x v="1"/>
    </i>
    <i r="1">
      <x v="2"/>
    </i>
    <i r="1">
      <x v="3"/>
    </i>
    <i t="grand">
      <x/>
    </i>
  </rowItems>
  <colFields count="1">
    <field x="9"/>
  </colFields>
  <colItems count="5">
    <i>
      <x v="5"/>
    </i>
    <i>
      <x v="6"/>
    </i>
    <i>
      <x v="7"/>
    </i>
    <i>
      <x v="8"/>
    </i>
    <i t="grand">
      <x/>
    </i>
  </colItems>
  <pageFields count="1">
    <pageField fld="8" hier="-1"/>
  </pageFields>
  <dataFields count="1">
    <dataField name="Sum of Amount" fld="10" baseField="0" baseItem="0" numFmtId="164"/>
  </dataFields>
  <formats count="13">
    <format dxfId="403">
      <pivotArea outline="0" collapsedLevelsAreSubtotals="1" fieldPosition="0"/>
    </format>
    <format dxfId="402">
      <pivotArea type="all" dataOnly="0" outline="0" fieldPosition="0"/>
    </format>
    <format dxfId="401">
      <pivotArea outline="0" collapsedLevelsAreSubtotals="1" fieldPosition="0"/>
    </format>
    <format dxfId="400">
      <pivotArea type="origin" dataOnly="0" labelOnly="1" outline="0" fieldPosition="0"/>
    </format>
    <format dxfId="399">
      <pivotArea field="9" type="button" dataOnly="0" labelOnly="1" outline="0" axis="axisCol" fieldPosition="0"/>
    </format>
    <format dxfId="398">
      <pivotArea type="topRight" dataOnly="0" labelOnly="1" outline="0" fieldPosition="0"/>
    </format>
    <format dxfId="397">
      <pivotArea field="2" type="button" dataOnly="0" labelOnly="1" outline="0" axis="axisRow" fieldPosition="0"/>
    </format>
    <format dxfId="396">
      <pivotArea dataOnly="0" labelOnly="1" fieldPosition="0">
        <references count="1">
          <reference field="2" count="0"/>
        </references>
      </pivotArea>
    </format>
    <format dxfId="395">
      <pivotArea dataOnly="0" labelOnly="1" grandRow="1" outline="0" fieldPosition="0"/>
    </format>
    <format dxfId="394">
      <pivotArea dataOnly="0" labelOnly="1" fieldPosition="0">
        <references count="2">
          <reference field="2" count="1" selected="0">
            <x v="0"/>
          </reference>
          <reference field="4" count="5">
            <x v="7"/>
            <x v="8"/>
            <x v="9"/>
            <x v="10"/>
            <x v="11"/>
          </reference>
        </references>
      </pivotArea>
    </format>
    <format dxfId="393">
      <pivotArea dataOnly="0" labelOnly="1" fieldPosition="0">
        <references count="2">
          <reference field="2" count="1" selected="0">
            <x v="1"/>
          </reference>
          <reference field="4" count="4">
            <x v="0"/>
            <x v="1"/>
            <x v="2"/>
            <x v="3"/>
          </reference>
        </references>
      </pivotArea>
    </format>
    <format dxfId="392">
      <pivotArea dataOnly="0" labelOnly="1" fieldPosition="0">
        <references count="1">
          <reference field="9" count="0"/>
        </references>
      </pivotArea>
    </format>
    <format dxfId="391">
      <pivotArea dataOnly="0" labelOnly="1" grandCol="1" outline="0" fieldPosition="0"/>
    </format>
  </formats>
  <chartFormats count="23">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2">
          <reference field="4294967294" count="1" selected="0">
            <x v="0"/>
          </reference>
          <reference field="9" count="1" selected="0">
            <x v="1"/>
          </reference>
        </references>
      </pivotArea>
    </chartFormat>
    <chartFormat chart="6" format="14" series="1">
      <pivotArea type="data" outline="0" fieldPosition="0">
        <references count="2">
          <reference field="4294967294" count="1" selected="0">
            <x v="0"/>
          </reference>
          <reference field="9" count="1" selected="0">
            <x v="2"/>
          </reference>
        </references>
      </pivotArea>
    </chartFormat>
    <chartFormat chart="6" format="15" series="1">
      <pivotArea type="data" outline="0" fieldPosition="0">
        <references count="2">
          <reference field="4294967294" count="1" selected="0">
            <x v="0"/>
          </reference>
          <reference field="9" count="1" selected="0">
            <x v="0"/>
          </reference>
        </references>
      </pivotArea>
    </chartFormat>
    <chartFormat chart="6" format="16">
      <pivotArea type="data" outline="0" fieldPosition="0">
        <references count="4">
          <reference field="4294967294" count="1" selected="0">
            <x v="0"/>
          </reference>
          <reference field="2" count="1" selected="0">
            <x v="0"/>
          </reference>
          <reference field="4" count="1" selected="0">
            <x v="7"/>
          </reference>
          <reference field="9" count="1" selected="0">
            <x v="1"/>
          </reference>
        </references>
      </pivotArea>
    </chartFormat>
    <chartFormat chart="6" format="17">
      <pivotArea type="data" outline="0" fieldPosition="0">
        <references count="4">
          <reference field="4294967294" count="1" selected="0">
            <x v="0"/>
          </reference>
          <reference field="2" count="1" selected="0">
            <x v="0"/>
          </reference>
          <reference field="4" count="1" selected="0">
            <x v="8"/>
          </reference>
          <reference field="9" count="1" selected="0">
            <x v="1"/>
          </reference>
        </references>
      </pivotArea>
    </chartFormat>
    <chartFormat chart="6" format="18">
      <pivotArea type="data" outline="0" fieldPosition="0">
        <references count="4">
          <reference field="4294967294" count="1" selected="0">
            <x v="0"/>
          </reference>
          <reference field="2" count="1" selected="0">
            <x v="0"/>
          </reference>
          <reference field="4" count="1" selected="0">
            <x v="9"/>
          </reference>
          <reference field="9" count="1" selected="0">
            <x v="1"/>
          </reference>
        </references>
      </pivotArea>
    </chartFormat>
    <chartFormat chart="6" format="19">
      <pivotArea type="data" outline="0" fieldPosition="0">
        <references count="4">
          <reference field="4294967294" count="1" selected="0">
            <x v="0"/>
          </reference>
          <reference field="2" count="1" selected="0">
            <x v="0"/>
          </reference>
          <reference field="4" count="1" selected="0">
            <x v="10"/>
          </reference>
          <reference field="9" count="1" selected="0">
            <x v="1"/>
          </reference>
        </references>
      </pivotArea>
    </chartFormat>
    <chartFormat chart="6" format="20">
      <pivotArea type="data" outline="0" fieldPosition="0">
        <references count="4">
          <reference field="4294967294" count="1" selected="0">
            <x v="0"/>
          </reference>
          <reference field="2" count="1" selected="0">
            <x v="0"/>
          </reference>
          <reference field="4" count="1" selected="0">
            <x v="11"/>
          </reference>
          <reference field="9" count="1" selected="0">
            <x v="1"/>
          </reference>
        </references>
      </pivotArea>
    </chartFormat>
    <chartFormat chart="6" format="21">
      <pivotArea type="data" outline="0" fieldPosition="0">
        <references count="4">
          <reference field="4294967294" count="1" selected="0">
            <x v="0"/>
          </reference>
          <reference field="2" count="1" selected="0">
            <x v="1"/>
          </reference>
          <reference field="4" count="1" selected="0">
            <x v="0"/>
          </reference>
          <reference field="9" count="1" selected="0">
            <x v="1"/>
          </reference>
        </references>
      </pivotArea>
    </chartFormat>
    <chartFormat chart="6" format="22">
      <pivotArea type="data" outline="0" fieldPosition="0">
        <references count="4">
          <reference field="4294967294" count="1" selected="0">
            <x v="0"/>
          </reference>
          <reference field="2" count="1" selected="0">
            <x v="1"/>
          </reference>
          <reference field="4" count="1" selected="0">
            <x v="1"/>
          </reference>
          <reference field="9" count="1" selected="0">
            <x v="1"/>
          </reference>
        </references>
      </pivotArea>
    </chartFormat>
    <chartFormat chart="6" format="23">
      <pivotArea type="data" outline="0" fieldPosition="0">
        <references count="4">
          <reference field="4294967294" count="1" selected="0">
            <x v="0"/>
          </reference>
          <reference field="2" count="1" selected="0">
            <x v="1"/>
          </reference>
          <reference field="4" count="1" selected="0">
            <x v="2"/>
          </reference>
          <reference field="9" count="1" selected="0">
            <x v="1"/>
          </reference>
        </references>
      </pivotArea>
    </chartFormat>
    <chartFormat chart="6" format="24" series="1">
      <pivotArea type="data" outline="0" fieldPosition="0">
        <references count="2">
          <reference field="4294967294" count="1" selected="0">
            <x v="0"/>
          </reference>
          <reference field="9" count="1" selected="0">
            <x v="3"/>
          </reference>
        </references>
      </pivotArea>
    </chartFormat>
    <chartFormat chart="6" format="25">
      <pivotArea type="data" outline="0" fieldPosition="0">
        <references count="4">
          <reference field="4294967294" count="1" selected="0">
            <x v="0"/>
          </reference>
          <reference field="2" count="1" selected="0">
            <x v="0"/>
          </reference>
          <reference field="4" count="1" selected="0">
            <x v="11"/>
          </reference>
          <reference field="9" count="1" selected="0">
            <x v="2"/>
          </reference>
        </references>
      </pivotArea>
    </chartFormat>
    <chartFormat chart="6" format="26">
      <pivotArea type="data" outline="0" fieldPosition="0">
        <references count="4">
          <reference field="4294967294" count="1" selected="0">
            <x v="0"/>
          </reference>
          <reference field="2" count="1" selected="0">
            <x v="1"/>
          </reference>
          <reference field="4" count="1" selected="0">
            <x v="0"/>
          </reference>
          <reference field="9" count="1" selected="0">
            <x v="2"/>
          </reference>
        </references>
      </pivotArea>
    </chartFormat>
    <chartFormat chart="6" format="27">
      <pivotArea type="data" outline="0" fieldPosition="0">
        <references count="4">
          <reference field="4294967294" count="1" selected="0">
            <x v="0"/>
          </reference>
          <reference field="2" count="1" selected="0">
            <x v="1"/>
          </reference>
          <reference field="4" count="1" selected="0">
            <x v="0"/>
          </reference>
          <reference field="9" count="1" selected="0">
            <x v="0"/>
          </reference>
        </references>
      </pivotArea>
    </chartFormat>
    <chartFormat chart="6" format="28" series="1">
      <pivotArea type="data" outline="0" fieldPosition="0">
        <references count="2">
          <reference field="4294967294" count="1" selected="0">
            <x v="0"/>
          </reference>
          <reference field="9" count="1" selected="0">
            <x v="5"/>
          </reference>
        </references>
      </pivotArea>
    </chartFormat>
    <chartFormat chart="6" format="29" series="1">
      <pivotArea type="data" outline="0" fieldPosition="0">
        <references count="2">
          <reference field="4294967294" count="1" selected="0">
            <x v="0"/>
          </reference>
          <reference field="9" count="1" selected="0">
            <x v="6"/>
          </reference>
        </references>
      </pivotArea>
    </chartFormat>
    <chartFormat chart="6" format="30" series="1">
      <pivotArea type="data" outline="0" fieldPosition="0">
        <references count="2">
          <reference field="4294967294" count="1" selected="0">
            <x v="0"/>
          </reference>
          <reference field="9" count="1" selected="0">
            <x v="8"/>
          </reference>
        </references>
      </pivotArea>
    </chartFormat>
    <chartFormat chart="6" format="31" series="1">
      <pivotArea type="data" outline="0" fieldPosition="0">
        <references count="2">
          <reference field="4294967294" count="1" selected="0">
            <x v="0"/>
          </reference>
          <reference field="9" count="1" selected="0">
            <x v="7"/>
          </reference>
        </references>
      </pivotArea>
    </chartFormat>
    <chartFormat chart="6" format="32">
      <pivotArea type="data" outline="0" fieldPosition="0">
        <references count="4">
          <reference field="4294967294" count="1" selected="0">
            <x v="0"/>
          </reference>
          <reference field="2" count="1" selected="0">
            <x v="0"/>
          </reference>
          <reference field="4" count="1" selected="0">
            <x v="11"/>
          </reference>
          <reference field="9" count="1" selected="0">
            <x v="7"/>
          </reference>
        </references>
      </pivotArea>
    </chartFormat>
    <chartFormat chart="6" format="33">
      <pivotArea type="data" outline="0" fieldPosition="0">
        <references count="4">
          <reference field="4294967294" count="1" selected="0">
            <x v="0"/>
          </reference>
          <reference field="2" count="1" selected="0">
            <x v="1"/>
          </reference>
          <reference field="4" count="1" selected="0">
            <x v="0"/>
          </reference>
          <reference field="9" count="1" selected="0">
            <x v="7"/>
          </reference>
        </references>
      </pivotArea>
    </chartFormat>
    <chartFormat chart="6" format="34">
      <pivotArea type="data" outline="0" fieldPosition="0">
        <references count="4">
          <reference field="4294967294" count="1" selected="0">
            <x v="0"/>
          </reference>
          <reference field="2" count="1" selected="0">
            <x v="1"/>
          </reference>
          <reference field="4" count="1" selected="0">
            <x v="0"/>
          </reference>
          <reference field="9" count="1" selected="0">
            <x v="5"/>
          </reference>
        </references>
      </pivotArea>
    </chartFormat>
  </chartFormats>
  <pivotTableStyleInfo name="PivotStyleLight16" showRowHeaders="1" showColHeaders="1" showRowStripes="0" showColStripes="0" showLastColumn="1"/>
  <filters count="1">
    <filter fld="4"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82955F-8F3E-9045-ACBD-3FFA9BECC8FF}" name="Expected-Paid-Remain-Total" cacheId="158" applyNumberFormats="0" applyBorderFormats="0" applyFontFormats="0" applyPatternFormats="0" applyAlignmentFormats="0" applyWidthHeightFormats="1" dataCaption="Values" updatedVersion="8" minRefreshableVersion="3" useAutoFormatting="1" itemPrintTitles="1" createdVersion="8" indent="0" outline="1" outlineData="1" chartFormat="18" rowHeaderCaption="Club">
  <location ref="A46:C52" firstHeaderRow="1" firstDataRow="2" firstDataCol="1" rowPageCount="1" colPageCount="1"/>
  <pivotFields count="14">
    <pivotField showAll="0"/>
    <pivotField showAll="0"/>
    <pivotField showAll="0">
      <items count="3">
        <item x="0"/>
        <item x="1"/>
        <item t="default"/>
      </items>
    </pivotField>
    <pivotField showAll="0"/>
    <pivotField showAll="0">
      <items count="14">
        <item x="5"/>
        <item x="6"/>
        <item x="7"/>
        <item x="8"/>
        <item x="9"/>
        <item x="10"/>
        <item x="11"/>
        <item x="0"/>
        <item x="1"/>
        <item x="2"/>
        <item x="3"/>
        <item x="4"/>
        <item m="1" x="12"/>
        <item t="default"/>
      </items>
    </pivotField>
    <pivotField showAll="0"/>
    <pivotField showAll="0"/>
    <pivotField showAll="0"/>
    <pivotField axis="axisCol" multipleItemSelectionAllowed="1" showAll="0" sortType="descending">
      <items count="5">
        <item h="1" m="1" x="3"/>
        <item h="1" x="1"/>
        <item x="0"/>
        <item h="1" x="2"/>
        <item t="default"/>
      </items>
      <autoSortScope>
        <pivotArea dataOnly="0" outline="0" fieldPosition="0">
          <references count="1">
            <reference field="4294967294" count="1" selected="0">
              <x v="0"/>
            </reference>
          </references>
        </pivotArea>
      </autoSortScope>
    </pivotField>
    <pivotField axis="axisRow" showAll="0" sortType="descending">
      <items count="10">
        <item m="1" x="4"/>
        <item m="1" x="5"/>
        <item m="1" x="6"/>
        <item m="1" x="7"/>
        <item m="1" x="8"/>
        <item x="0"/>
        <item x="1"/>
        <item x="2"/>
        <item x="3"/>
        <item t="default"/>
      </items>
      <autoSortScope>
        <pivotArea dataOnly="0" outline="0" fieldPosition="0">
          <references count="2">
            <reference field="4294967294" count="1" selected="0">
              <x v="0"/>
            </reference>
            <reference field="8" count="1" selected="0">
              <x v="2"/>
            </reference>
          </references>
        </pivotArea>
      </autoSortScope>
    </pivotField>
    <pivotField axis="axisPage" dataField="1" showAll="0">
      <items count="43">
        <item x="17"/>
        <item x="24"/>
        <item x="18"/>
        <item x="11"/>
        <item x="23"/>
        <item x="36"/>
        <item x="13"/>
        <item x="35"/>
        <item x="10"/>
        <item x="26"/>
        <item x="6"/>
        <item x="12"/>
        <item x="34"/>
        <item x="25"/>
        <item x="19"/>
        <item x="22"/>
        <item x="0"/>
        <item x="27"/>
        <item x="20"/>
        <item x="9"/>
        <item x="16"/>
        <item x="2"/>
        <item x="31"/>
        <item x="5"/>
        <item x="14"/>
        <item x="29"/>
        <item x="1"/>
        <item x="28"/>
        <item x="21"/>
        <item x="7"/>
        <item x="32"/>
        <item x="3"/>
        <item x="39"/>
        <item x="37"/>
        <item x="8"/>
        <item x="30"/>
        <item x="15"/>
        <item x="4"/>
        <item x="38"/>
        <item x="33"/>
        <item x="40"/>
        <item x="4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5">
    <i>
      <x v="6"/>
    </i>
    <i>
      <x v="5"/>
    </i>
    <i>
      <x v="7"/>
    </i>
    <i>
      <x v="8"/>
    </i>
    <i t="grand">
      <x/>
    </i>
  </rowItems>
  <colFields count="1">
    <field x="8"/>
  </colFields>
  <colItems count="2">
    <i>
      <x v="2"/>
    </i>
    <i t="grand">
      <x/>
    </i>
  </colItems>
  <pageFields count="1">
    <pageField fld="10" hier="-1"/>
  </pageFields>
  <dataFields count="1">
    <dataField name="Sum of Amount" fld="10" baseField="0" baseItem="0"/>
  </dataFields>
  <formats count="11">
    <format dxfId="414">
      <pivotArea outline="0" collapsedLevelsAreSubtotals="1" fieldPosition="0"/>
    </format>
    <format dxfId="413">
      <pivotArea type="all" dataOnly="0" outline="0" fieldPosition="0"/>
    </format>
    <format dxfId="412">
      <pivotArea outline="0" collapsedLevelsAreSubtotals="1" fieldPosition="0"/>
    </format>
    <format dxfId="411">
      <pivotArea type="origin" dataOnly="0" labelOnly="1" outline="0" fieldPosition="0"/>
    </format>
    <format dxfId="410">
      <pivotArea field="8" type="button" dataOnly="0" labelOnly="1" outline="0" axis="axisCol" fieldPosition="0"/>
    </format>
    <format dxfId="409">
      <pivotArea type="topRight" dataOnly="0" labelOnly="1" outline="0" fieldPosition="0"/>
    </format>
    <format dxfId="408">
      <pivotArea field="9" type="button" dataOnly="0" labelOnly="1" outline="0" axis="axisRow" fieldPosition="0"/>
    </format>
    <format dxfId="407">
      <pivotArea dataOnly="0" labelOnly="1" fieldPosition="0">
        <references count="1">
          <reference field="9" count="0"/>
        </references>
      </pivotArea>
    </format>
    <format dxfId="406">
      <pivotArea dataOnly="0" labelOnly="1" grandRow="1" outline="0" fieldPosition="0"/>
    </format>
    <format dxfId="405">
      <pivotArea dataOnly="0" labelOnly="1" fieldPosition="0">
        <references count="1">
          <reference field="8" count="0"/>
        </references>
      </pivotArea>
    </format>
    <format dxfId="404">
      <pivotArea dataOnly="0" labelOnly="1" grandCol="1" outline="0" fieldPosition="0"/>
    </format>
  </formats>
  <chartFormats count="11">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8" count="1" selected="0">
            <x v="1"/>
          </reference>
        </references>
      </pivotArea>
    </chartFormat>
    <chartFormat chart="4" format="15">
      <pivotArea type="data" outline="0" fieldPosition="0">
        <references count="3">
          <reference field="4294967294" count="1" selected="0">
            <x v="0"/>
          </reference>
          <reference field="8" count="1" selected="0">
            <x v="2"/>
          </reference>
          <reference field="9" count="1" selected="0">
            <x v="1"/>
          </reference>
        </references>
      </pivotArea>
    </chartFormat>
    <chartFormat chart="4" format="16">
      <pivotArea type="data" outline="0" fieldPosition="0">
        <references count="3">
          <reference field="4294967294" count="1" selected="0">
            <x v="0"/>
          </reference>
          <reference field="8" count="1" selected="0">
            <x v="2"/>
          </reference>
          <reference field="9" count="1" selected="0">
            <x v="0"/>
          </reference>
        </references>
      </pivotArea>
    </chartFormat>
    <chartFormat chart="4" format="17">
      <pivotArea type="data" outline="0" fieldPosition="0">
        <references count="3">
          <reference field="4294967294" count="1" selected="0">
            <x v="0"/>
          </reference>
          <reference field="8" count="1" selected="0">
            <x v="2"/>
          </reference>
          <reference field="9" count="1" selected="0">
            <x v="2"/>
          </reference>
        </references>
      </pivotArea>
    </chartFormat>
    <chartFormat chart="4" format="18" series="1">
      <pivotArea type="data" outline="0" fieldPosition="0">
        <references count="2">
          <reference field="4294967294" count="1" selected="0">
            <x v="0"/>
          </reference>
          <reference field="8" count="1" selected="0">
            <x v="2"/>
          </reference>
        </references>
      </pivotArea>
    </chartFormat>
    <chartFormat chart="4" format="19">
      <pivotArea type="data" outline="0" fieldPosition="0">
        <references count="3">
          <reference field="4294967294" count="1" selected="0">
            <x v="0"/>
          </reference>
          <reference field="8" count="1" selected="0">
            <x v="2"/>
          </reference>
          <reference field="9" count="1" selected="0">
            <x v="3"/>
          </reference>
        </references>
      </pivotArea>
    </chartFormat>
    <chartFormat chart="4" format="20">
      <pivotArea type="data" outline="0" fieldPosition="0">
        <references count="3">
          <reference field="4294967294" count="1" selected="0">
            <x v="0"/>
          </reference>
          <reference field="8" count="1" selected="0">
            <x v="2"/>
          </reference>
          <reference field="9" count="1" selected="0">
            <x v="5"/>
          </reference>
        </references>
      </pivotArea>
    </chartFormat>
    <chartFormat chart="4" format="21">
      <pivotArea type="data" outline="0" fieldPosition="0">
        <references count="3">
          <reference field="4294967294" count="1" selected="0">
            <x v="0"/>
          </reference>
          <reference field="8" count="1" selected="0">
            <x v="2"/>
          </reference>
          <reference field="9" count="1" selected="0">
            <x v="6"/>
          </reference>
        </references>
      </pivotArea>
    </chartFormat>
    <chartFormat chart="4" format="22">
      <pivotArea type="data" outline="0" fieldPosition="0">
        <references count="3">
          <reference field="4294967294" count="1" selected="0">
            <x v="0"/>
          </reference>
          <reference field="8" count="1" selected="0">
            <x v="2"/>
          </reference>
          <reference field="9" count="1" selected="0">
            <x v="8"/>
          </reference>
        </references>
      </pivotArea>
    </chartFormat>
    <chartFormat chart="4" format="23">
      <pivotArea type="data" outline="0" fieldPosition="0">
        <references count="3">
          <reference field="4294967294" count="1" selected="0">
            <x v="0"/>
          </reference>
          <reference field="8" count="1" selected="0">
            <x v="2"/>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6" connectionId="5" xr16:uid="{E731A1B5-6B86-7B47-8241-1B14644E7AD3}" autoFormatId="16" applyNumberFormats="0" applyBorderFormats="0" applyFontFormats="0" applyPatternFormats="0" applyAlignmentFormats="0" applyWidthHeightFormats="0">
  <queryTableRefresh nextId="14">
    <queryTableFields count="11">
      <queryTableField id="1" name="Year_Month_Text" tableColumnId="1"/>
      <queryTableField id="2" name="Year_Month" tableColumnId="2"/>
      <queryTableField id="3" name="Year" tableColumnId="3"/>
      <queryTableField id="4" name="Month Number" tableColumnId="4"/>
      <queryTableField id="5" name="Month" tableColumnId="5"/>
      <queryTableField id="6" name="Date" tableColumnId="6"/>
      <queryTableField id="7" name="Quantity" tableColumnId="7"/>
      <queryTableField id="8" name="Category" tableColumnId="8"/>
      <queryTableField id="9" name="Type" tableColumnId="9"/>
      <queryTableField id="10" name="Club" tableColumnId="10"/>
      <queryTableField id="12" name="Amoun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8ED88C3-1681-C547-98C8-929C52D7B2FF}" sourceName="Month">
  <pivotTables>
    <pivotTable tabId="13" name="Club-payment"/>
    <pivotTable tabId="13" name="KPIs"/>
    <pivotTable tabId="13" name="Monthly_Income_x000d__x000a_"/>
    <pivotTable tabId="13" name="Expected-Paid-Remain-Total"/>
    <pivotTable tabId="13" name="Estimated"/>
    <pivotTable tabId="13" name="PROJECTED_INCOME_PER_CLUB"/>
  </pivotTables>
  <data>
    <tabular pivotCacheId="1683477282">
      <items count="13">
        <i x="5" s="1"/>
        <i x="6" s="1"/>
        <i x="7" s="1"/>
        <i x="8" s="1"/>
        <i x="9" s="1"/>
        <i x="10" s="1"/>
        <i x="11" s="1"/>
        <i x="0" s="1"/>
        <i x="1" s="1"/>
        <i x="2" s="1"/>
        <i x="3" s="1"/>
        <i x="4" s="1"/>
        <i x="1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b1" xr10:uid="{877FE79A-7022-354E-8EA6-BF81E6685F10}" sourceName="Club">
  <pivotTables>
    <pivotTable tabId="13" name="Club-payment"/>
    <pivotTable tabId="13" name="KPIs"/>
    <pivotTable tabId="13" name="Monthly_Income_x000d__x000a_"/>
    <pivotTable tabId="13" name="Expected-Paid-Remain-Total"/>
    <pivotTable tabId="13" name="Estimated"/>
    <pivotTable tabId="13" name="PROJECTED_INCOME_PER_CLUB"/>
  </pivotTables>
  <data>
    <tabular pivotCacheId="1683477282">
      <items count="9">
        <i x="0" s="1"/>
        <i x="1" s="1"/>
        <i x="2" s="1"/>
        <i x="3" s="1"/>
        <i x="7" s="1" nd="1"/>
        <i x="4" s="1" nd="1"/>
        <i x="5" s="1" nd="1"/>
        <i x="6" s="1" nd="1"/>
        <i x="8"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86E1E9-140D-AE49-905D-689055E20F5F}" sourceName="Year">
  <pivotTables>
    <pivotTable tabId="13" name="Club-payment"/>
    <pivotTable tabId="13" name="KPIs"/>
    <pivotTable tabId="13" name="Monthly_Income_x000d__x000a_"/>
    <pivotTable tabId="13" name="Expected-Paid-Remain-Total"/>
    <pivotTable tabId="13" name="Estimated"/>
    <pivotTable tabId="13" name="PROJECTED_INCOME_PER_CLUB"/>
  </pivotTables>
  <data>
    <tabular pivotCacheId="16834772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F7CF6DB-4735-E147-83BD-CBA7BCDA252D}" cache="Slicer_Month1" caption="Month" style="SlicerStyleLight4" rowHeight="251883"/>
  <slicer name="Club 1" xr10:uid="{CA07E9A6-7F44-B94F-8BB2-41180E279CB2}" cache="Slicer_Club1" caption="Club" style="SlicerStyleLight4" rowHeight="251883"/>
  <slicer name="Year 1" xr10:uid="{28C347BB-A17B-B448-9571-81F391E41E0D}" cache="Slicer_Year" caption="Year" style="SlicerStyleLight4"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9C69FA4-FDC5-6F4B-AC7F-778313C35BCC}" name="Final" displayName="Final" ref="A1:K63" tableType="queryTable" totalsRowShown="0" headerRowDxfId="341" dataDxfId="340">
  <autoFilter ref="A1:K63" xr:uid="{C9C69FA4-FDC5-6F4B-AC7F-778313C35BCC}"/>
  <sortState xmlns:xlrd2="http://schemas.microsoft.com/office/spreadsheetml/2017/richdata2" ref="A2:K63">
    <sortCondition ref="B1:B63"/>
  </sortState>
  <tableColumns count="11">
    <tableColumn id="1" xr3:uid="{AD287BA5-E083-494B-9AAF-B18E6C3A4BDF}" uniqueName="1" name="Year_Month_Text" queryTableFieldId="1" dataDxfId="339"/>
    <tableColumn id="2" xr3:uid="{5E68F083-57C3-DC44-9B52-639391400E6D}" uniqueName="2" name="Year_Month" queryTableFieldId="2" dataDxfId="338"/>
    <tableColumn id="3" xr3:uid="{510A06E2-6EBE-D74D-9CDB-6C999837E9A2}" uniqueName="3" name="Year" queryTableFieldId="3" dataDxfId="337"/>
    <tableColumn id="4" xr3:uid="{BE19B50C-A09E-ED49-A660-83162FEA253F}" uniqueName="4" name="Month Number" queryTableFieldId="4" dataDxfId="336"/>
    <tableColumn id="5" xr3:uid="{A9957346-D966-6B40-976B-C6D1160264E8}" uniqueName="5" name="Month" queryTableFieldId="5" dataDxfId="335"/>
    <tableColumn id="6" xr3:uid="{F9E705A7-4630-3E4C-AF13-8D63A29F1BE9}" uniqueName="6" name="Date" queryTableFieldId="6" dataDxfId="334"/>
    <tableColumn id="7" xr3:uid="{B41905A3-029A-1A45-9E9D-D110DF317C66}" uniqueName="7" name="Quantity" queryTableFieldId="7" dataDxfId="333"/>
    <tableColumn id="8" xr3:uid="{C753859C-B286-AF4D-B06E-0DA9A661111E}" uniqueName="8" name="Category" queryTableFieldId="8" dataDxfId="332"/>
    <tableColumn id="9" xr3:uid="{12E992CE-B3F4-284F-A064-C7F3BCD3C794}" uniqueName="9" name="Type" queryTableFieldId="9" dataDxfId="331"/>
    <tableColumn id="10" xr3:uid="{03DA2073-62DC-1B48-A5A1-E2918D0D4511}" uniqueName="10" name="Club" queryTableFieldId="10" dataDxfId="330"/>
    <tableColumn id="12" xr3:uid="{A155726C-920B-2A49-99DE-A433FA8A72E0}" uniqueName="12" name="Amount" queryTableFieldId="12" dataDxfId="3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0EF54-27EB-3F40-AC4E-BDFB19C44620}">
  <sheetPr>
    <tabColor theme="5" tint="0.39997558519241921"/>
    <pageSetUpPr fitToPage="1"/>
  </sheetPr>
  <dimension ref="B2:U46"/>
  <sheetViews>
    <sheetView showGridLines="0" tabSelected="1" zoomScale="96" zoomScaleNormal="96" zoomScaleSheetLayoutView="90" workbookViewId="0">
      <selection activeCell="C55" sqref="C55"/>
    </sheetView>
  </sheetViews>
  <sheetFormatPr baseColWidth="10" defaultRowHeight="17"/>
  <cols>
    <col min="1" max="1" width="2.6640625" style="3" customWidth="1"/>
    <col min="2" max="2" width="16.5" style="4" customWidth="1"/>
    <col min="3" max="3" width="32.6640625" style="4" customWidth="1"/>
    <col min="4" max="4" width="6.83203125" style="4" customWidth="1"/>
    <col min="5" max="5" width="14.6640625" style="4" customWidth="1"/>
    <col min="6" max="6" width="12.6640625" style="4" bestFit="1" customWidth="1"/>
    <col min="7" max="7" width="15.5" style="4" bestFit="1" customWidth="1"/>
    <col min="8" max="8" width="12.6640625" style="4" bestFit="1" customWidth="1"/>
    <col min="9" max="9" width="11" style="4" bestFit="1" customWidth="1"/>
    <col min="10" max="10" width="6.83203125" style="3" customWidth="1"/>
    <col min="11" max="11" width="28.83203125" style="3" customWidth="1"/>
    <col min="12" max="12" width="4.1640625" style="3" customWidth="1"/>
    <col min="13" max="13" width="28.83203125" style="3" customWidth="1"/>
    <col min="14" max="14" width="4.1640625" style="3" customWidth="1"/>
    <col min="15" max="15" width="28.83203125" style="3" customWidth="1"/>
    <col min="16" max="16" width="4.1640625" style="3" customWidth="1"/>
    <col min="17" max="17" width="28.83203125" style="3" customWidth="1"/>
    <col min="18" max="18" width="4.1640625" style="3" customWidth="1"/>
    <col min="19" max="19" width="28.83203125" style="3" customWidth="1"/>
    <col min="20" max="20" width="4.1640625" style="3" customWidth="1"/>
    <col min="21" max="21" width="28.83203125" style="3" customWidth="1"/>
    <col min="22" max="22" width="4.6640625" style="3" customWidth="1"/>
    <col min="23" max="16384" width="10.83203125" style="3"/>
  </cols>
  <sheetData>
    <row r="2" spans="2:21" ht="83" customHeight="1">
      <c r="B2" s="42" t="s">
        <v>36</v>
      </c>
      <c r="C2" s="42"/>
      <c r="D2" s="42"/>
      <c r="E2" s="42"/>
      <c r="F2" s="42"/>
      <c r="G2" s="42"/>
      <c r="H2" s="42"/>
      <c r="I2" s="42"/>
      <c r="K2" s="33" t="s">
        <v>61</v>
      </c>
      <c r="L2" s="34"/>
      <c r="M2" s="33" t="s">
        <v>24</v>
      </c>
      <c r="N2" s="34"/>
      <c r="O2" s="33" t="s">
        <v>60</v>
      </c>
      <c r="P2" s="34"/>
      <c r="Q2" s="33" t="s">
        <v>58</v>
      </c>
      <c r="R2" s="35"/>
      <c r="S2" s="33" t="s">
        <v>62</v>
      </c>
      <c r="T2" s="35"/>
      <c r="U2" s="33" t="s">
        <v>59</v>
      </c>
    </row>
    <row r="3" spans="2:21" ht="50" customHeight="1">
      <c r="B3" s="42"/>
      <c r="C3" s="42"/>
      <c r="D3" s="42"/>
      <c r="E3" s="42"/>
      <c r="F3" s="42"/>
      <c r="G3" s="42"/>
      <c r="H3" s="42"/>
      <c r="I3" s="42"/>
      <c r="K3" s="18">
        <f>GETPIVOTDATA("Sum of Field1",pivot_tables!$A$21,"Type","Expected")</f>
        <v>21484</v>
      </c>
      <c r="L3" s="17"/>
      <c r="M3" s="18">
        <f>GETPIVOTDATA("Sum of Field1",pivot_tables!$A$21,"Type","Paid")</f>
        <v>18321.5</v>
      </c>
      <c r="N3" s="16"/>
      <c r="O3" s="18">
        <f>GETPIVOTDATA("Sum of Field1",pivot_tables!$A$21)</f>
        <v>3162.4999999999982</v>
      </c>
      <c r="Q3" s="19">
        <f>GETPIVOTDATA("Sum of Field1_2",pivot_tables!$A$21,"Type","Paid")</f>
        <v>0.85279743064606217</v>
      </c>
      <c r="S3" s="18">
        <f>GETPIVOTDATA("Amount",pivot_tables!$A$55)</f>
        <v>12272.5</v>
      </c>
      <c r="U3" s="18">
        <f>K3+O3+S3</f>
        <v>36919</v>
      </c>
    </row>
    <row r="4" spans="2:21" ht="19" customHeight="1">
      <c r="B4" s="10"/>
      <c r="C4" s="11"/>
      <c r="D4" s="11"/>
      <c r="E4" s="12"/>
      <c r="F4" s="13"/>
      <c r="G4" s="14"/>
      <c r="H4" s="14"/>
      <c r="I4" s="14"/>
      <c r="L4" s="15"/>
    </row>
    <row r="5" spans="2:21" ht="34">
      <c r="B5" s="43" t="s">
        <v>68</v>
      </c>
      <c r="C5" s="43"/>
      <c r="E5" s="38" t="s">
        <v>71</v>
      </c>
      <c r="F5" s="61"/>
      <c r="G5" s="6"/>
      <c r="H5" s="6"/>
      <c r="I5" s="6"/>
      <c r="J5"/>
    </row>
    <row r="6" spans="2:21">
      <c r="B6" s="37" t="s">
        <v>15</v>
      </c>
      <c r="C6" s="37" t="s">
        <v>63</v>
      </c>
      <c r="E6" s="21"/>
      <c r="F6" s="29" t="s">
        <v>54</v>
      </c>
      <c r="G6" s="26" t="s">
        <v>55</v>
      </c>
      <c r="H6" s="30" t="s">
        <v>56</v>
      </c>
      <c r="I6" s="31" t="s">
        <v>57</v>
      </c>
      <c r="J6"/>
    </row>
    <row r="7" spans="2:21">
      <c r="B7" s="36" t="s">
        <v>54</v>
      </c>
      <c r="C7" s="2" t="s">
        <v>65</v>
      </c>
      <c r="E7" s="27">
        <v>2025</v>
      </c>
      <c r="F7" s="49">
        <v>119.5</v>
      </c>
      <c r="G7" s="52">
        <v>42.5</v>
      </c>
      <c r="H7" s="55">
        <v>36</v>
      </c>
      <c r="I7" s="58"/>
      <c r="J7"/>
    </row>
    <row r="8" spans="2:21">
      <c r="B8" s="36" t="s">
        <v>57</v>
      </c>
      <c r="C8" s="2" t="s">
        <v>64</v>
      </c>
      <c r="E8" s="20" t="s">
        <v>3</v>
      </c>
      <c r="F8" s="50">
        <v>3</v>
      </c>
      <c r="G8" s="53">
        <v>0</v>
      </c>
      <c r="H8" s="56">
        <v>9</v>
      </c>
      <c r="I8" s="59"/>
      <c r="J8"/>
    </row>
    <row r="9" spans="2:21">
      <c r="B9" s="36" t="s">
        <v>67</v>
      </c>
      <c r="C9" s="2" t="s">
        <v>66</v>
      </c>
      <c r="E9" s="20" t="s">
        <v>4</v>
      </c>
      <c r="F9" s="50">
        <v>41.75</v>
      </c>
      <c r="G9" s="53">
        <v>15.5</v>
      </c>
      <c r="H9" s="56">
        <v>14</v>
      </c>
      <c r="I9" s="59"/>
      <c r="J9"/>
    </row>
    <row r="10" spans="2:21">
      <c r="B10" s="36" t="s">
        <v>56</v>
      </c>
      <c r="C10" s="2" t="s">
        <v>69</v>
      </c>
      <c r="E10" s="20" t="s">
        <v>5</v>
      </c>
      <c r="F10" s="50">
        <v>36.25</v>
      </c>
      <c r="G10" s="53">
        <v>10.5</v>
      </c>
      <c r="H10" s="56">
        <v>6</v>
      </c>
      <c r="I10" s="59"/>
      <c r="J10"/>
    </row>
    <row r="11" spans="2:21">
      <c r="E11" s="20" t="s">
        <v>6</v>
      </c>
      <c r="F11" s="50">
        <v>30.5</v>
      </c>
      <c r="G11" s="53">
        <v>14.5</v>
      </c>
      <c r="H11" s="56">
        <v>7</v>
      </c>
      <c r="I11" s="59"/>
      <c r="J11"/>
    </row>
    <row r="12" spans="2:21">
      <c r="B12" s="44" t="s">
        <v>70</v>
      </c>
      <c r="C12" s="44"/>
      <c r="E12" s="20" t="s">
        <v>7</v>
      </c>
      <c r="F12" s="50">
        <v>8</v>
      </c>
      <c r="G12" s="53">
        <v>2</v>
      </c>
      <c r="H12" s="56">
        <v>0</v>
      </c>
      <c r="I12" s="59"/>
      <c r="J12"/>
    </row>
    <row r="13" spans="2:21">
      <c r="B13" s="45"/>
      <c r="C13" s="45"/>
      <c r="E13" s="27">
        <v>2026</v>
      </c>
      <c r="F13" s="49">
        <v>144.25</v>
      </c>
      <c r="G13" s="52">
        <v>42.5</v>
      </c>
      <c r="H13" s="55">
        <v>32</v>
      </c>
      <c r="I13" s="58">
        <v>38</v>
      </c>
      <c r="J13"/>
    </row>
    <row r="14" spans="2:21">
      <c r="B14" s="41" t="str">
        <f>" -  "&amp;pivot_tables!A48&amp;" generates "&amp;TEXT(pivot_tables!B48/pivot_tables!B52,"0,00%")&amp;
" of total revenue"</f>
        <v xml:space="preserve"> -  Emerald Demons generates 51,98% of total revenue</v>
      </c>
      <c r="C14" s="41"/>
      <c r="E14" s="47" t="s">
        <v>9</v>
      </c>
      <c r="F14" s="50">
        <v>5.5</v>
      </c>
      <c r="G14" s="53">
        <v>1.5</v>
      </c>
      <c r="H14" s="56">
        <v>6</v>
      </c>
      <c r="I14" s="59"/>
      <c r="J14"/>
    </row>
    <row r="15" spans="2:21">
      <c r="B15" s="39" t="str">
        <f>" -  "&amp;TEXT(O3/S3,"0,00%")&amp;
" of expected income remains unpaid."</f>
        <v xml:space="preserve"> -  25,77% of expected income remains unpaid.</v>
      </c>
      <c r="C15" s="39"/>
      <c r="E15" s="48" t="s">
        <v>10</v>
      </c>
      <c r="F15" s="51">
        <v>31.25</v>
      </c>
      <c r="G15" s="54">
        <v>12.5</v>
      </c>
      <c r="H15" s="57">
        <v>14</v>
      </c>
      <c r="I15" s="60"/>
      <c r="J15"/>
    </row>
    <row r="16" spans="2:21">
      <c r="B16" s="39" t="str">
        <f>" - Income is highly seasonal, peaking in Q4. "</f>
        <v xml:space="preserve"> - Income is highly seasonal, peaking in Q4. </v>
      </c>
      <c r="C16" s="39"/>
      <c r="E16" s="47" t="s">
        <v>3</v>
      </c>
      <c r="F16" s="50"/>
      <c r="G16" s="53"/>
      <c r="H16" s="56"/>
      <c r="I16" s="59">
        <v>15</v>
      </c>
      <c r="J16"/>
    </row>
    <row r="17" spans="2:10">
      <c r="B17" s="40"/>
      <c r="C17" s="40"/>
      <c r="E17" s="47" t="s">
        <v>43</v>
      </c>
      <c r="F17" s="50">
        <v>21.5</v>
      </c>
      <c r="G17" s="53">
        <v>5</v>
      </c>
      <c r="H17" s="56">
        <v>6</v>
      </c>
      <c r="I17" s="59">
        <v>10</v>
      </c>
      <c r="J17"/>
    </row>
    <row r="18" spans="2:10">
      <c r="B18" s="5"/>
      <c r="C18" s="5"/>
      <c r="E18" s="47" t="s">
        <v>46</v>
      </c>
      <c r="F18" s="50">
        <v>43</v>
      </c>
      <c r="G18" s="53">
        <v>16</v>
      </c>
      <c r="H18" s="56">
        <v>6</v>
      </c>
      <c r="I18" s="59">
        <v>0</v>
      </c>
      <c r="J18"/>
    </row>
    <row r="19" spans="2:10">
      <c r="B19" s="5"/>
      <c r="C19" s="5"/>
      <c r="E19" s="47" t="s">
        <v>49</v>
      </c>
      <c r="F19" s="50">
        <v>43</v>
      </c>
      <c r="G19" s="53">
        <v>7.5</v>
      </c>
      <c r="H19" s="56">
        <v>0</v>
      </c>
      <c r="I19" s="59">
        <v>0</v>
      </c>
      <c r="J19"/>
    </row>
    <row r="20" spans="2:10">
      <c r="B20" s="5"/>
      <c r="C20" s="5"/>
      <c r="E20" s="47" t="s">
        <v>51</v>
      </c>
      <c r="F20" s="50">
        <v>0</v>
      </c>
      <c r="G20" s="53">
        <v>0</v>
      </c>
      <c r="H20" s="56">
        <v>0</v>
      </c>
      <c r="I20" s="59">
        <v>13</v>
      </c>
      <c r="J20"/>
    </row>
    <row r="21" spans="2:10">
      <c r="B21" s="5"/>
      <c r="C21" s="5"/>
      <c r="E21" s="28" t="s">
        <v>23</v>
      </c>
      <c r="F21" s="29">
        <v>263.75</v>
      </c>
      <c r="G21" s="26">
        <v>85</v>
      </c>
      <c r="H21" s="30">
        <v>68</v>
      </c>
      <c r="I21" s="31">
        <v>38</v>
      </c>
      <c r="J21"/>
    </row>
    <row r="22" spans="2:10" ht="19" customHeight="1">
      <c r="B22" s="5"/>
      <c r="C22" s="5"/>
      <c r="E22" s="20"/>
      <c r="F22" s="21"/>
      <c r="G22" s="21"/>
      <c r="H22" s="21"/>
      <c r="I22" s="21"/>
      <c r="J22" s="21"/>
    </row>
    <row r="23" spans="2:10" ht="19" customHeight="1">
      <c r="B23" s="5"/>
      <c r="C23" s="5"/>
    </row>
    <row r="24" spans="2:10" ht="19" customHeight="1">
      <c r="B24" s="5"/>
      <c r="C24" s="5"/>
      <c r="E24" s="3"/>
      <c r="F24" s="3"/>
    </row>
    <row r="25" spans="2:10" ht="19" customHeight="1">
      <c r="B25" s="5"/>
      <c r="C25" s="5"/>
      <c r="E25" s="3"/>
      <c r="F25" s="3"/>
    </row>
    <row r="26" spans="2:10" ht="19" customHeight="1">
      <c r="B26" s="5"/>
      <c r="C26" s="5"/>
      <c r="E26" s="3"/>
      <c r="F26" s="3"/>
    </row>
    <row r="27" spans="2:10" ht="19" customHeight="1">
      <c r="B27" s="5"/>
      <c r="C27" s="5"/>
      <c r="E27" s="3"/>
      <c r="F27" s="3"/>
    </row>
    <row r="28" spans="2:10" ht="19" customHeight="1">
      <c r="B28" s="5"/>
      <c r="C28" s="5"/>
      <c r="E28" s="3"/>
      <c r="F28" s="3"/>
    </row>
    <row r="29" spans="2:10" ht="19" customHeight="1">
      <c r="B29" s="5"/>
      <c r="C29" s="5"/>
      <c r="E29" s="3"/>
      <c r="F29" s="3"/>
    </row>
    <row r="30" spans="2:10" ht="19" customHeight="1">
      <c r="B30" s="5"/>
      <c r="C30" s="5"/>
      <c r="E30" s="3"/>
      <c r="F30" s="3"/>
    </row>
    <row r="31" spans="2:10" ht="19" customHeight="1">
      <c r="B31" s="5"/>
      <c r="C31" s="5"/>
      <c r="E31" s="3"/>
      <c r="F31" s="3"/>
      <c r="H31" s="8"/>
      <c r="I31" s="8"/>
    </row>
    <row r="32" spans="2:10" ht="19" customHeight="1">
      <c r="B32" s="5"/>
      <c r="C32" s="5"/>
      <c r="E32" s="3"/>
      <c r="F32" s="3"/>
    </row>
    <row r="33" spans="2:9" ht="19" customHeight="1">
      <c r="B33" s="5"/>
      <c r="C33" s="5"/>
      <c r="E33" s="3"/>
      <c r="F33" s="3"/>
    </row>
    <row r="34" spans="2:9" ht="19" customHeight="1">
      <c r="B34" s="5"/>
      <c r="C34" s="5"/>
      <c r="E34" s="3"/>
      <c r="F34" s="3"/>
    </row>
    <row r="35" spans="2:9" ht="19" customHeight="1">
      <c r="B35" s="5"/>
      <c r="C35" s="5"/>
      <c r="E35" s="3"/>
      <c r="F35" s="3"/>
    </row>
    <row r="36" spans="2:9" ht="19" customHeight="1">
      <c r="B36" s="5"/>
      <c r="C36" s="5"/>
      <c r="E36" s="3"/>
      <c r="F36" s="3"/>
    </row>
    <row r="37" spans="2:9" ht="19" customHeight="1">
      <c r="B37" s="5"/>
      <c r="C37" s="5"/>
      <c r="E37" s="3"/>
      <c r="F37" s="3"/>
      <c r="H37" s="9"/>
      <c r="I37" s="9"/>
    </row>
    <row r="38" spans="2:9" ht="19" customHeight="1">
      <c r="B38" s="5"/>
      <c r="C38" s="5"/>
      <c r="E38" s="3"/>
      <c r="F38" s="3"/>
    </row>
    <row r="39" spans="2:9" ht="19" customHeight="1">
      <c r="B39" s="5"/>
      <c r="C39" s="5"/>
      <c r="E39" s="3"/>
      <c r="F39" s="3"/>
    </row>
    <row r="40" spans="2:9" ht="19" customHeight="1">
      <c r="B40" s="5"/>
      <c r="C40" s="5"/>
      <c r="E40" s="3"/>
      <c r="F40" s="3"/>
    </row>
    <row r="41" spans="2:9" ht="19" customHeight="1">
      <c r="B41" s="5"/>
      <c r="C41" s="5"/>
    </row>
    <row r="42" spans="2:9" ht="19" customHeight="1">
      <c r="B42" s="5"/>
      <c r="C42" s="5"/>
    </row>
    <row r="43" spans="2:9" ht="19" customHeight="1">
      <c r="B43" s="5"/>
      <c r="C43" s="5"/>
    </row>
    <row r="44" spans="2:9" ht="19" customHeight="1">
      <c r="B44" s="5"/>
      <c r="C44" s="5"/>
    </row>
    <row r="45" spans="2:9" ht="19" customHeight="1">
      <c r="B45" s="5"/>
      <c r="C45" s="5"/>
    </row>
    <row r="46" spans="2:9" ht="21" customHeight="1">
      <c r="B46" s="5"/>
      <c r="C46" s="5"/>
    </row>
  </sheetData>
  <mergeCells count="7">
    <mergeCell ref="B15:C15"/>
    <mergeCell ref="B17:C17"/>
    <mergeCell ref="B16:C16"/>
    <mergeCell ref="B14:C14"/>
    <mergeCell ref="B2:I3"/>
    <mergeCell ref="B5:C5"/>
    <mergeCell ref="B12:C13"/>
  </mergeCells>
  <printOptions horizontalCentered="1" verticalCentered="1"/>
  <pageMargins left="0.23622047244094491" right="0.23622047244094491" top="0.74803149606299213" bottom="0.74803149606299213" header="0" footer="0"/>
  <pageSetup scale="39" orientation="landscape" horizontalDpi="0" verticalDpi="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C0FD-3B2B-1D43-9110-C7E0AC2545B6}">
  <dimension ref="A2:F106"/>
  <sheetViews>
    <sheetView topLeftCell="A43" zoomScaleNormal="100" workbookViewId="0">
      <selection activeCell="G88" sqref="G88"/>
    </sheetView>
  </sheetViews>
  <sheetFormatPr baseColWidth="10" defaultColWidth="14.6640625" defaultRowHeight="17"/>
  <cols>
    <col min="1" max="1" width="13.6640625" style="2" bestFit="1" customWidth="1"/>
    <col min="2" max="2" width="15.33203125" style="2" bestFit="1" customWidth="1"/>
    <col min="3" max="3" width="11" style="2" bestFit="1" customWidth="1"/>
    <col min="4" max="4" width="12.1640625" style="2" bestFit="1" customWidth="1"/>
    <col min="5" max="5" width="10.5" style="2" bestFit="1" customWidth="1"/>
    <col min="6" max="6" width="11" style="2" bestFit="1" customWidth="1"/>
    <col min="7" max="7" width="16.5" style="2" bestFit="1" customWidth="1"/>
    <col min="8" max="8" width="18.5" style="2" bestFit="1" customWidth="1"/>
    <col min="9" max="9" width="14.6640625" style="2"/>
    <col min="10" max="10" width="18.1640625" style="2" bestFit="1" customWidth="1"/>
    <col min="11" max="11" width="13" style="2" bestFit="1" customWidth="1"/>
    <col min="12" max="12" width="11.33203125" style="2" bestFit="1" customWidth="1"/>
    <col min="13" max="13" width="10.83203125" style="2" bestFit="1" customWidth="1"/>
    <col min="14" max="16384" width="14.6640625" style="2"/>
  </cols>
  <sheetData>
    <row r="2" spans="1:6">
      <c r="A2" s="1" t="s">
        <v>14</v>
      </c>
      <c r="B2" s="2" t="s">
        <v>18</v>
      </c>
    </row>
    <row r="4" spans="1:6">
      <c r="A4" s="1" t="s">
        <v>20</v>
      </c>
      <c r="B4" s="1" t="s">
        <v>21</v>
      </c>
    </row>
    <row r="5" spans="1:6">
      <c r="A5" s="1" t="s">
        <v>22</v>
      </c>
      <c r="B5" s="2" t="s">
        <v>54</v>
      </c>
      <c r="C5" s="2" t="s">
        <v>55</v>
      </c>
      <c r="D5" s="2" t="s">
        <v>56</v>
      </c>
      <c r="E5" s="2" t="s">
        <v>57</v>
      </c>
      <c r="F5" s="2" t="s">
        <v>23</v>
      </c>
    </row>
    <row r="6" spans="1:6">
      <c r="A6" s="22">
        <v>2025</v>
      </c>
      <c r="B6" s="24">
        <v>3585</v>
      </c>
      <c r="C6" s="24">
        <v>6501.5</v>
      </c>
      <c r="D6" s="24">
        <v>2160</v>
      </c>
      <c r="E6" s="24"/>
      <c r="F6" s="24">
        <v>12246.5</v>
      </c>
    </row>
    <row r="7" spans="1:6">
      <c r="A7" s="23" t="s">
        <v>3</v>
      </c>
      <c r="B7" s="24">
        <v>90</v>
      </c>
      <c r="C7" s="24">
        <v>1000</v>
      </c>
      <c r="D7" s="24">
        <v>540</v>
      </c>
      <c r="E7" s="24"/>
      <c r="F7" s="24">
        <v>1630</v>
      </c>
    </row>
    <row r="8" spans="1:6">
      <c r="A8" s="23" t="s">
        <v>4</v>
      </c>
      <c r="B8" s="24">
        <v>1252.5</v>
      </c>
      <c r="C8" s="24">
        <v>1542.5</v>
      </c>
      <c r="D8" s="24">
        <v>840</v>
      </c>
      <c r="E8" s="24"/>
      <c r="F8" s="24">
        <v>3635</v>
      </c>
    </row>
    <row r="9" spans="1:6">
      <c r="A9" s="23" t="s">
        <v>5</v>
      </c>
      <c r="B9" s="24">
        <v>1087.5</v>
      </c>
      <c r="C9" s="24">
        <v>1367.5</v>
      </c>
      <c r="D9" s="24">
        <v>360</v>
      </c>
      <c r="E9" s="24"/>
      <c r="F9" s="24">
        <v>2815</v>
      </c>
    </row>
    <row r="10" spans="1:6">
      <c r="A10" s="23" t="s">
        <v>6</v>
      </c>
      <c r="B10" s="24">
        <v>915</v>
      </c>
      <c r="C10" s="24">
        <v>1521.5</v>
      </c>
      <c r="D10" s="24">
        <v>420</v>
      </c>
      <c r="E10" s="24"/>
      <c r="F10" s="24">
        <v>2856.5</v>
      </c>
    </row>
    <row r="11" spans="1:6">
      <c r="A11" s="23" t="s">
        <v>7</v>
      </c>
      <c r="B11" s="24">
        <v>240</v>
      </c>
      <c r="C11" s="24">
        <v>1070</v>
      </c>
      <c r="D11" s="24">
        <v>0</v>
      </c>
      <c r="E11" s="24"/>
      <c r="F11" s="24">
        <v>1310</v>
      </c>
    </row>
    <row r="12" spans="1:6">
      <c r="A12" s="22">
        <v>2026</v>
      </c>
      <c r="B12" s="24">
        <v>1747.5</v>
      </c>
      <c r="C12" s="24">
        <v>4665</v>
      </c>
      <c r="D12" s="24">
        <v>1200</v>
      </c>
      <c r="E12" s="24">
        <v>1625</v>
      </c>
      <c r="F12" s="24">
        <v>9237.5</v>
      </c>
    </row>
    <row r="13" spans="1:6">
      <c r="A13" s="23" t="s">
        <v>8</v>
      </c>
      <c r="B13" s="24">
        <v>0</v>
      </c>
      <c r="C13" s="24">
        <v>1000</v>
      </c>
      <c r="D13" s="24">
        <v>0</v>
      </c>
      <c r="E13" s="24"/>
      <c r="F13" s="24">
        <v>1000</v>
      </c>
    </row>
    <row r="14" spans="1:6">
      <c r="A14" s="23" t="s">
        <v>9</v>
      </c>
      <c r="B14" s="24">
        <v>165</v>
      </c>
      <c r="C14" s="24">
        <v>1052.5</v>
      </c>
      <c r="D14" s="24">
        <v>360</v>
      </c>
      <c r="E14" s="24"/>
      <c r="F14" s="24">
        <v>1577.5</v>
      </c>
    </row>
    <row r="15" spans="1:6">
      <c r="A15" s="23" t="s">
        <v>10</v>
      </c>
      <c r="B15" s="24">
        <v>937.5</v>
      </c>
      <c r="C15" s="24">
        <v>1437.5</v>
      </c>
      <c r="D15" s="24">
        <v>840</v>
      </c>
      <c r="E15" s="24"/>
      <c r="F15" s="24">
        <v>3215</v>
      </c>
    </row>
    <row r="16" spans="1:6">
      <c r="A16" s="23" t="s">
        <v>43</v>
      </c>
      <c r="B16" s="24">
        <v>645</v>
      </c>
      <c r="C16" s="24">
        <v>1175</v>
      </c>
      <c r="D16" s="24"/>
      <c r="E16" s="24">
        <v>1625</v>
      </c>
      <c r="F16" s="24">
        <v>3445</v>
      </c>
    </row>
    <row r="17" spans="1:6">
      <c r="A17" s="22" t="s">
        <v>23</v>
      </c>
      <c r="B17" s="24">
        <v>5332.5</v>
      </c>
      <c r="C17" s="24">
        <v>11166.5</v>
      </c>
      <c r="D17" s="24">
        <v>3360</v>
      </c>
      <c r="E17" s="24">
        <v>1625</v>
      </c>
      <c r="F17" s="24">
        <v>21484</v>
      </c>
    </row>
    <row r="21" spans="1:6">
      <c r="A21" s="1" t="s">
        <v>21</v>
      </c>
    </row>
    <row r="22" spans="1:6">
      <c r="A22" s="2" t="s">
        <v>18</v>
      </c>
      <c r="C22" s="2" t="s">
        <v>16</v>
      </c>
      <c r="E22" s="2" t="s">
        <v>38</v>
      </c>
      <c r="F22" s="2" t="s">
        <v>40</v>
      </c>
    </row>
    <row r="23" spans="1:6">
      <c r="A23" s="2" t="s">
        <v>39</v>
      </c>
      <c r="B23" s="2" t="s">
        <v>41</v>
      </c>
      <c r="C23" s="2" t="s">
        <v>39</v>
      </c>
      <c r="D23" s="2" t="s">
        <v>41</v>
      </c>
    </row>
    <row r="24" spans="1:6">
      <c r="A24" s="46">
        <v>21484</v>
      </c>
      <c r="B24" s="7">
        <v>1</v>
      </c>
      <c r="C24" s="46">
        <v>18321.5</v>
      </c>
      <c r="D24" s="7">
        <v>0.85279743064606217</v>
      </c>
      <c r="E24" s="46">
        <v>3162.4999999999982</v>
      </c>
      <c r="F24" s="7"/>
    </row>
    <row r="28" spans="1:6">
      <c r="A28" s="1" t="s">
        <v>37</v>
      </c>
      <c r="B28" s="1" t="s">
        <v>21</v>
      </c>
      <c r="E28"/>
    </row>
    <row r="29" spans="1:6">
      <c r="A29" s="1" t="s">
        <v>22</v>
      </c>
      <c r="B29" s="2" t="s">
        <v>18</v>
      </c>
      <c r="C29" s="2" t="s">
        <v>16</v>
      </c>
      <c r="D29" s="2" t="s">
        <v>23</v>
      </c>
      <c r="E29"/>
    </row>
    <row r="30" spans="1:6">
      <c r="A30" s="22">
        <v>2025</v>
      </c>
      <c r="B30" s="25">
        <v>12246.5</v>
      </c>
      <c r="C30" s="25">
        <v>10426.880000000001</v>
      </c>
      <c r="D30" s="25">
        <v>1819.62</v>
      </c>
      <c r="E30"/>
    </row>
    <row r="31" spans="1:6">
      <c r="A31" s="23" t="s">
        <v>3</v>
      </c>
      <c r="B31" s="25">
        <v>1630</v>
      </c>
      <c r="C31" s="25">
        <v>0</v>
      </c>
      <c r="D31" s="25">
        <v>1630</v>
      </c>
      <c r="E31"/>
    </row>
    <row r="32" spans="1:6">
      <c r="A32" s="23" t="s">
        <v>4</v>
      </c>
      <c r="B32" s="25">
        <v>3635</v>
      </c>
      <c r="C32" s="25">
        <v>540</v>
      </c>
      <c r="D32" s="25">
        <v>3095</v>
      </c>
      <c r="E32"/>
    </row>
    <row r="33" spans="1:5">
      <c r="A33" s="23" t="s">
        <v>5</v>
      </c>
      <c r="B33" s="25">
        <v>2815</v>
      </c>
      <c r="C33" s="25">
        <v>3053.88</v>
      </c>
      <c r="D33" s="25">
        <v>238.88000000000011</v>
      </c>
      <c r="E33"/>
    </row>
    <row r="34" spans="1:5">
      <c r="A34" s="23" t="s">
        <v>6</v>
      </c>
      <c r="B34" s="25">
        <v>2856.5</v>
      </c>
      <c r="C34" s="25">
        <v>3998</v>
      </c>
      <c r="D34" s="25">
        <v>1141.5</v>
      </c>
      <c r="E34"/>
    </row>
    <row r="35" spans="1:5">
      <c r="A35" s="23" t="s">
        <v>7</v>
      </c>
      <c r="B35" s="25">
        <v>1310</v>
      </c>
      <c r="C35" s="25">
        <v>2835</v>
      </c>
      <c r="D35" s="25">
        <v>1525</v>
      </c>
      <c r="E35"/>
    </row>
    <row r="36" spans="1:5">
      <c r="A36" s="22">
        <v>2026</v>
      </c>
      <c r="B36" s="25">
        <v>9237.5</v>
      </c>
      <c r="C36" s="25">
        <v>7894.62</v>
      </c>
      <c r="D36" s="25">
        <v>1342.88</v>
      </c>
      <c r="E36"/>
    </row>
    <row r="37" spans="1:5">
      <c r="A37" s="23" t="s">
        <v>8</v>
      </c>
      <c r="B37" s="25">
        <v>1000</v>
      </c>
      <c r="C37" s="25">
        <v>1579.62</v>
      </c>
      <c r="D37" s="25">
        <v>579.62</v>
      </c>
      <c r="E37"/>
    </row>
    <row r="38" spans="1:5">
      <c r="A38" s="23" t="s">
        <v>9</v>
      </c>
      <c r="B38" s="25">
        <v>1577.5</v>
      </c>
      <c r="C38" s="25">
        <v>1000</v>
      </c>
      <c r="D38" s="25">
        <v>577.5</v>
      </c>
      <c r="E38"/>
    </row>
    <row r="39" spans="1:5">
      <c r="A39" s="23" t="s">
        <v>10</v>
      </c>
      <c r="B39" s="25">
        <v>3215</v>
      </c>
      <c r="C39" s="25">
        <v>1360</v>
      </c>
      <c r="D39" s="25">
        <v>1855</v>
      </c>
      <c r="E39"/>
    </row>
    <row r="40" spans="1:5">
      <c r="A40" s="23" t="s">
        <v>43</v>
      </c>
      <c r="B40" s="25">
        <v>3445</v>
      </c>
      <c r="C40" s="25">
        <v>3955</v>
      </c>
      <c r="D40" s="25">
        <v>510</v>
      </c>
      <c r="E40"/>
    </row>
    <row r="41" spans="1:5">
      <c r="A41" s="23" t="s">
        <v>46</v>
      </c>
      <c r="B41" s="25">
        <v>0</v>
      </c>
      <c r="C41" s="25">
        <v>0</v>
      </c>
      <c r="D41" s="25">
        <v>0</v>
      </c>
      <c r="E41"/>
    </row>
    <row r="42" spans="1:5">
      <c r="A42" s="23" t="s">
        <v>49</v>
      </c>
      <c r="B42" s="25">
        <v>0</v>
      </c>
      <c r="C42" s="25">
        <v>0</v>
      </c>
      <c r="D42" s="25">
        <v>0</v>
      </c>
      <c r="E42"/>
    </row>
    <row r="43" spans="1:5">
      <c r="A43" s="22" t="s">
        <v>23</v>
      </c>
      <c r="B43" s="25">
        <v>21484</v>
      </c>
      <c r="C43" s="25">
        <v>18321.5</v>
      </c>
      <c r="D43" s="25">
        <v>3162.5</v>
      </c>
      <c r="E43"/>
    </row>
    <row r="44" spans="1:5">
      <c r="A44" s="1" t="s">
        <v>2</v>
      </c>
      <c r="B44" s="2" t="s">
        <v>53</v>
      </c>
      <c r="C44"/>
      <c r="D44"/>
      <c r="E44"/>
    </row>
    <row r="45" spans="1:5">
      <c r="A45"/>
      <c r="B45"/>
      <c r="C45"/>
      <c r="D45"/>
      <c r="E45"/>
    </row>
    <row r="46" spans="1:5">
      <c r="A46" s="1" t="s">
        <v>20</v>
      </c>
      <c r="B46" s="1" t="s">
        <v>21</v>
      </c>
    </row>
    <row r="47" spans="1:5">
      <c r="A47" s="1" t="s">
        <v>15</v>
      </c>
      <c r="B47" s="2" t="s">
        <v>18</v>
      </c>
      <c r="C47" s="2" t="s">
        <v>23</v>
      </c>
    </row>
    <row r="48" spans="1:5">
      <c r="A48" s="22" t="s">
        <v>55</v>
      </c>
      <c r="B48" s="24">
        <v>11166.5</v>
      </c>
      <c r="C48" s="24">
        <v>11166.5</v>
      </c>
    </row>
    <row r="49" spans="1:6">
      <c r="A49" s="22" t="s">
        <v>54</v>
      </c>
      <c r="B49" s="24">
        <v>5332.5</v>
      </c>
      <c r="C49" s="24">
        <v>5332.5</v>
      </c>
    </row>
    <row r="50" spans="1:6">
      <c r="A50" s="22" t="s">
        <v>56</v>
      </c>
      <c r="B50" s="24">
        <v>3360</v>
      </c>
      <c r="C50" s="24">
        <v>3360</v>
      </c>
    </row>
    <row r="51" spans="1:6">
      <c r="A51" s="22" t="s">
        <v>57</v>
      </c>
      <c r="B51" s="24">
        <v>1625</v>
      </c>
      <c r="C51" s="24">
        <v>1625</v>
      </c>
    </row>
    <row r="52" spans="1:6">
      <c r="A52" s="22" t="s">
        <v>23</v>
      </c>
      <c r="B52" s="24">
        <v>21484</v>
      </c>
      <c r="C52" s="24">
        <v>21484</v>
      </c>
    </row>
    <row r="55" spans="1:6">
      <c r="A55" s="1" t="s">
        <v>22</v>
      </c>
      <c r="B55" s="2" t="s">
        <v>20</v>
      </c>
    </row>
    <row r="56" spans="1:6">
      <c r="A56" s="22" t="s">
        <v>47</v>
      </c>
      <c r="B56" s="24">
        <v>12272.5</v>
      </c>
    </row>
    <row r="57" spans="1:6">
      <c r="A57" s="22" t="s">
        <v>23</v>
      </c>
      <c r="B57" s="24">
        <v>12272.5</v>
      </c>
    </row>
    <row r="60" spans="1:6">
      <c r="A60" s="1" t="s">
        <v>14</v>
      </c>
      <c r="B60" s="2" t="s">
        <v>47</v>
      </c>
    </row>
    <row r="62" spans="1:6">
      <c r="A62" s="1" t="s">
        <v>20</v>
      </c>
      <c r="B62" s="1" t="s">
        <v>21</v>
      </c>
    </row>
    <row r="63" spans="1:6">
      <c r="A63" s="1" t="s">
        <v>22</v>
      </c>
      <c r="B63" s="2" t="s">
        <v>54</v>
      </c>
      <c r="C63" s="2" t="s">
        <v>55</v>
      </c>
      <c r="D63" s="2" t="s">
        <v>56</v>
      </c>
      <c r="E63" s="2" t="s">
        <v>57</v>
      </c>
      <c r="F63" s="2" t="s">
        <v>23</v>
      </c>
    </row>
    <row r="64" spans="1:6">
      <c r="A64" s="22">
        <v>2026</v>
      </c>
      <c r="B64" s="24">
        <v>2580</v>
      </c>
      <c r="C64" s="24">
        <v>3822.5</v>
      </c>
      <c r="D64" s="24">
        <v>720</v>
      </c>
      <c r="E64" s="24">
        <v>5150</v>
      </c>
      <c r="F64" s="24">
        <v>12272.5</v>
      </c>
    </row>
    <row r="65" spans="1:6">
      <c r="A65" s="23" t="s">
        <v>43</v>
      </c>
      <c r="B65" s="24"/>
      <c r="C65" s="24"/>
      <c r="D65" s="24">
        <v>360</v>
      </c>
      <c r="E65" s="24"/>
      <c r="F65" s="24">
        <v>360</v>
      </c>
    </row>
    <row r="66" spans="1:6">
      <c r="A66" s="23" t="s">
        <v>46</v>
      </c>
      <c r="B66" s="24">
        <v>1290</v>
      </c>
      <c r="C66" s="24">
        <v>1560</v>
      </c>
      <c r="D66" s="24">
        <v>360</v>
      </c>
      <c r="E66" s="24"/>
      <c r="F66" s="24">
        <v>3210</v>
      </c>
    </row>
    <row r="67" spans="1:6">
      <c r="A67" s="23" t="s">
        <v>49</v>
      </c>
      <c r="B67" s="24">
        <v>1290</v>
      </c>
      <c r="C67" s="24">
        <v>1262.5</v>
      </c>
      <c r="D67" s="24">
        <v>0</v>
      </c>
      <c r="E67" s="24"/>
      <c r="F67" s="24">
        <v>2552.5</v>
      </c>
    </row>
    <row r="68" spans="1:6">
      <c r="A68" s="23" t="s">
        <v>51</v>
      </c>
      <c r="B68" s="24">
        <v>0</v>
      </c>
      <c r="C68" s="24">
        <v>1000</v>
      </c>
      <c r="D68" s="24">
        <v>0</v>
      </c>
      <c r="E68" s="24">
        <v>2275</v>
      </c>
      <c r="F68" s="24">
        <v>3275</v>
      </c>
    </row>
    <row r="69" spans="1:6">
      <c r="A69" s="23" t="s">
        <v>3</v>
      </c>
      <c r="B69" s="24"/>
      <c r="C69" s="24"/>
      <c r="D69" s="24"/>
      <c r="E69" s="24">
        <v>2875</v>
      </c>
      <c r="F69" s="24">
        <v>2875</v>
      </c>
    </row>
    <row r="70" spans="1:6">
      <c r="A70" s="22" t="s">
        <v>23</v>
      </c>
      <c r="B70" s="24">
        <v>2580</v>
      </c>
      <c r="C70" s="24">
        <v>3822.5</v>
      </c>
      <c r="D70" s="24">
        <v>720</v>
      </c>
      <c r="E70" s="24">
        <v>5150</v>
      </c>
      <c r="F70" s="24">
        <v>12272.5</v>
      </c>
    </row>
    <row r="73" spans="1:6">
      <c r="A73"/>
      <c r="B73"/>
      <c r="C73"/>
      <c r="D73"/>
      <c r="E73"/>
      <c r="F73"/>
    </row>
    <row r="74" spans="1:6">
      <c r="A74"/>
      <c r="B74"/>
      <c r="C74"/>
      <c r="D74"/>
      <c r="E74"/>
      <c r="F74"/>
    </row>
    <row r="75" spans="1:6">
      <c r="A75"/>
      <c r="B75"/>
      <c r="C75"/>
      <c r="D75"/>
      <c r="E75"/>
      <c r="F75"/>
    </row>
    <row r="76" spans="1:6">
      <c r="A76"/>
      <c r="B76"/>
      <c r="C76"/>
      <c r="D76"/>
      <c r="E76"/>
      <c r="F76"/>
    </row>
    <row r="77" spans="1:6">
      <c r="A77"/>
      <c r="B77"/>
      <c r="C77"/>
      <c r="D77"/>
      <c r="E77"/>
      <c r="F77"/>
    </row>
    <row r="78" spans="1:6">
      <c r="A78"/>
      <c r="B78"/>
      <c r="C78"/>
      <c r="D78"/>
      <c r="E78"/>
      <c r="F78"/>
    </row>
    <row r="79" spans="1:6">
      <c r="A79"/>
      <c r="B79"/>
      <c r="C79"/>
      <c r="D79"/>
      <c r="E79"/>
      <c r="F79"/>
    </row>
    <row r="80" spans="1:6">
      <c r="A80"/>
      <c r="B80"/>
      <c r="C80"/>
      <c r="D80"/>
      <c r="E80"/>
      <c r="F80"/>
    </row>
    <row r="81" spans="1:6">
      <c r="A81"/>
      <c r="B81"/>
      <c r="C81"/>
      <c r="D81"/>
      <c r="E81"/>
      <c r="F81"/>
    </row>
    <row r="82" spans="1:6">
      <c r="A82"/>
      <c r="B82"/>
      <c r="C82"/>
      <c r="D82"/>
      <c r="E82"/>
      <c r="F82"/>
    </row>
    <row r="83" spans="1:6">
      <c r="A83"/>
      <c r="B83"/>
      <c r="C83"/>
      <c r="D83"/>
      <c r="E83"/>
      <c r="F83"/>
    </row>
    <row r="84" spans="1:6">
      <c r="A84"/>
      <c r="B84"/>
      <c r="C84"/>
      <c r="D84"/>
      <c r="E84"/>
      <c r="F84"/>
    </row>
    <row r="85" spans="1:6">
      <c r="A85"/>
      <c r="B85"/>
    </row>
    <row r="86" spans="1:6">
      <c r="A86"/>
      <c r="B86"/>
    </row>
    <row r="87" spans="1:6">
      <c r="A87"/>
      <c r="B87"/>
    </row>
    <row r="88" spans="1:6">
      <c r="A88"/>
      <c r="B88"/>
    </row>
    <row r="89" spans="1:6">
      <c r="A89"/>
      <c r="B89"/>
    </row>
    <row r="90" spans="1:6">
      <c r="A90"/>
      <c r="B90"/>
    </row>
    <row r="91" spans="1:6">
      <c r="A91"/>
      <c r="B91"/>
    </row>
    <row r="92" spans="1:6">
      <c r="A92"/>
      <c r="B92"/>
    </row>
    <row r="93" spans="1:6">
      <c r="A93"/>
      <c r="B93"/>
    </row>
    <row r="94" spans="1:6">
      <c r="A94"/>
      <c r="B94"/>
    </row>
    <row r="95" spans="1:6">
      <c r="A95"/>
      <c r="B95"/>
    </row>
    <row r="96" spans="1:6">
      <c r="A96"/>
      <c r="B96"/>
    </row>
    <row r="97" spans="1:2">
      <c r="A97"/>
      <c r="B97"/>
    </row>
    <row r="98" spans="1:2">
      <c r="A98"/>
      <c r="B98"/>
    </row>
    <row r="99" spans="1:2">
      <c r="A99"/>
      <c r="B99"/>
    </row>
    <row r="100" spans="1:2">
      <c r="A100"/>
      <c r="B100"/>
    </row>
    <row r="101" spans="1:2">
      <c r="A101"/>
      <c r="B101"/>
    </row>
    <row r="102" spans="1:2">
      <c r="A102"/>
      <c r="B102"/>
    </row>
    <row r="103" spans="1:2">
      <c r="A103"/>
      <c r="B103"/>
    </row>
    <row r="104" spans="1:2">
      <c r="A104"/>
      <c r="B104"/>
    </row>
    <row r="105" spans="1:2">
      <c r="A105"/>
      <c r="B105"/>
    </row>
    <row r="106" spans="1:2">
      <c r="A106"/>
      <c r="B106"/>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BDA9-72ED-6E41-821F-E9CC1364B847}">
  <dimension ref="A1:K63"/>
  <sheetViews>
    <sheetView topLeftCell="A12" workbookViewId="0">
      <selection activeCell="K65" sqref="K65"/>
    </sheetView>
  </sheetViews>
  <sheetFormatPr baseColWidth="10" defaultRowHeight="17"/>
  <cols>
    <col min="1" max="1" width="18" style="2" bestFit="1" customWidth="1"/>
    <col min="2" max="2" width="13.5" style="2" bestFit="1" customWidth="1"/>
    <col min="3" max="3" width="7.33203125" style="2" bestFit="1" customWidth="1"/>
    <col min="4" max="4" width="15.6640625" style="2" bestFit="1" customWidth="1"/>
    <col min="5" max="5" width="9" style="2" bestFit="1" customWidth="1"/>
    <col min="6" max="6" width="10.1640625" style="2" bestFit="1" customWidth="1"/>
    <col min="7" max="7" width="10.6640625" style="2" bestFit="1" customWidth="1"/>
    <col min="8" max="8" width="11" style="2" bestFit="1" customWidth="1"/>
    <col min="9" max="9" width="8.33203125" style="2" bestFit="1" customWidth="1"/>
    <col min="10" max="10" width="13.33203125" style="2" bestFit="1" customWidth="1"/>
    <col min="11" max="12" width="10.1640625" style="2" bestFit="1" customWidth="1"/>
    <col min="13" max="13" width="12.33203125" style="2" bestFit="1" customWidth="1"/>
    <col min="14" max="16384" width="10.83203125" style="2"/>
  </cols>
  <sheetData>
    <row r="1" spans="1:11">
      <c r="A1" s="2" t="s">
        <v>25</v>
      </c>
      <c r="B1" s="2" t="s">
        <v>26</v>
      </c>
      <c r="C1" s="2" t="s">
        <v>11</v>
      </c>
      <c r="D1" s="2" t="s">
        <v>27</v>
      </c>
      <c r="E1" s="2" t="s">
        <v>0</v>
      </c>
      <c r="F1" s="2" t="s">
        <v>12</v>
      </c>
      <c r="G1" s="2" t="s">
        <v>17</v>
      </c>
      <c r="H1" s="2" t="s">
        <v>13</v>
      </c>
      <c r="I1" s="2" t="s">
        <v>14</v>
      </c>
      <c r="J1" s="2" t="s">
        <v>15</v>
      </c>
      <c r="K1" s="2" t="s">
        <v>2</v>
      </c>
    </row>
    <row r="2" spans="1:11">
      <c r="A2" s="2" t="s">
        <v>28</v>
      </c>
      <c r="B2" s="2">
        <v>202508</v>
      </c>
      <c r="C2" s="2">
        <v>2025</v>
      </c>
      <c r="D2" s="2">
        <v>8</v>
      </c>
      <c r="E2" s="2" t="s">
        <v>3</v>
      </c>
      <c r="F2" s="32">
        <v>45900</v>
      </c>
      <c r="G2" s="2">
        <v>3</v>
      </c>
      <c r="H2" s="2" t="s">
        <v>1</v>
      </c>
      <c r="I2" s="2" t="s">
        <v>18</v>
      </c>
      <c r="J2" s="2" t="s">
        <v>54</v>
      </c>
      <c r="K2" s="2">
        <v>90</v>
      </c>
    </row>
    <row r="3" spans="1:11">
      <c r="A3" s="2" t="s">
        <v>28</v>
      </c>
      <c r="B3" s="2">
        <v>202508</v>
      </c>
      <c r="C3" s="2">
        <v>2025</v>
      </c>
      <c r="D3" s="2">
        <v>8</v>
      </c>
      <c r="E3" s="2" t="s">
        <v>3</v>
      </c>
      <c r="F3" s="32">
        <v>45900</v>
      </c>
      <c r="G3" s="2">
        <v>0</v>
      </c>
      <c r="H3" s="2" t="s">
        <v>1</v>
      </c>
      <c r="I3" s="2" t="s">
        <v>18</v>
      </c>
      <c r="J3" s="2" t="s">
        <v>55</v>
      </c>
      <c r="K3" s="2">
        <v>1000</v>
      </c>
    </row>
    <row r="4" spans="1:11">
      <c r="A4" s="2" t="s">
        <v>28</v>
      </c>
      <c r="B4" s="2">
        <v>202508</v>
      </c>
      <c r="C4" s="2">
        <v>2025</v>
      </c>
      <c r="D4" s="2">
        <v>8</v>
      </c>
      <c r="E4" s="2" t="s">
        <v>3</v>
      </c>
      <c r="F4" s="32">
        <v>45900</v>
      </c>
      <c r="G4" s="2">
        <v>9</v>
      </c>
      <c r="H4" s="2" t="s">
        <v>19</v>
      </c>
      <c r="I4" s="2" t="s">
        <v>18</v>
      </c>
      <c r="J4" s="2" t="s">
        <v>56</v>
      </c>
      <c r="K4" s="2">
        <v>540</v>
      </c>
    </row>
    <row r="5" spans="1:11">
      <c r="A5" s="2" t="s">
        <v>29</v>
      </c>
      <c r="B5" s="2">
        <v>202509</v>
      </c>
      <c r="C5" s="2">
        <v>2025</v>
      </c>
      <c r="D5" s="2">
        <v>9</v>
      </c>
      <c r="E5" s="2" t="s">
        <v>4</v>
      </c>
      <c r="F5" s="32">
        <v>45930</v>
      </c>
      <c r="G5" s="2">
        <v>41.75</v>
      </c>
      <c r="H5" s="2" t="s">
        <v>1</v>
      </c>
      <c r="I5" s="2" t="s">
        <v>18</v>
      </c>
      <c r="J5" s="2" t="s">
        <v>54</v>
      </c>
      <c r="K5" s="2">
        <v>1252.5</v>
      </c>
    </row>
    <row r="6" spans="1:11">
      <c r="A6" s="2" t="s">
        <v>29</v>
      </c>
      <c r="B6" s="2">
        <v>202509</v>
      </c>
      <c r="C6" s="2">
        <v>2025</v>
      </c>
      <c r="D6" s="2">
        <v>9</v>
      </c>
      <c r="E6" s="2" t="s">
        <v>4</v>
      </c>
      <c r="F6" s="32">
        <v>45930</v>
      </c>
      <c r="G6" s="2">
        <v>15.5</v>
      </c>
      <c r="H6" s="2" t="s">
        <v>1</v>
      </c>
      <c r="I6" s="2" t="s">
        <v>18</v>
      </c>
      <c r="J6" s="2" t="s">
        <v>55</v>
      </c>
      <c r="K6" s="2">
        <v>1542.5</v>
      </c>
    </row>
    <row r="7" spans="1:11">
      <c r="A7" s="2" t="s">
        <v>29</v>
      </c>
      <c r="B7" s="2">
        <v>202509</v>
      </c>
      <c r="C7" s="2">
        <v>2025</v>
      </c>
      <c r="D7" s="2">
        <v>9</v>
      </c>
      <c r="E7" s="2" t="s">
        <v>4</v>
      </c>
      <c r="F7" s="32">
        <v>45930</v>
      </c>
      <c r="G7" s="2">
        <v>14</v>
      </c>
      <c r="H7" s="2" t="s">
        <v>19</v>
      </c>
      <c r="I7" s="2" t="s">
        <v>18</v>
      </c>
      <c r="J7" s="2" t="s">
        <v>56</v>
      </c>
      <c r="K7" s="2">
        <v>840</v>
      </c>
    </row>
    <row r="8" spans="1:11">
      <c r="A8" s="2" t="s">
        <v>29</v>
      </c>
      <c r="B8" s="2">
        <v>202509</v>
      </c>
      <c r="C8" s="2">
        <v>2025</v>
      </c>
      <c r="D8" s="2">
        <v>9</v>
      </c>
      <c r="E8" s="2" t="s">
        <v>4</v>
      </c>
      <c r="F8" s="32">
        <v>45905</v>
      </c>
      <c r="H8" s="2" t="s">
        <v>19</v>
      </c>
      <c r="I8" s="2" t="s">
        <v>16</v>
      </c>
      <c r="J8" s="2" t="s">
        <v>56</v>
      </c>
      <c r="K8" s="2">
        <v>-540</v>
      </c>
    </row>
    <row r="9" spans="1:11">
      <c r="A9" s="2" t="s">
        <v>30</v>
      </c>
      <c r="B9" s="2">
        <v>202510</v>
      </c>
      <c r="C9" s="2">
        <v>2025</v>
      </c>
      <c r="D9" s="2">
        <v>10</v>
      </c>
      <c r="E9" s="2" t="s">
        <v>5</v>
      </c>
      <c r="F9" s="32">
        <v>45961</v>
      </c>
      <c r="G9" s="2">
        <v>36.25</v>
      </c>
      <c r="H9" s="2" t="s">
        <v>1</v>
      </c>
      <c r="I9" s="2" t="s">
        <v>18</v>
      </c>
      <c r="J9" s="2" t="s">
        <v>54</v>
      </c>
      <c r="K9" s="2">
        <v>1087.5</v>
      </c>
    </row>
    <row r="10" spans="1:11">
      <c r="A10" s="2" t="s">
        <v>30</v>
      </c>
      <c r="B10" s="2">
        <v>202510</v>
      </c>
      <c r="C10" s="2">
        <v>2025</v>
      </c>
      <c r="D10" s="2">
        <v>10</v>
      </c>
      <c r="E10" s="2" t="s">
        <v>5</v>
      </c>
      <c r="F10" s="32">
        <v>45961</v>
      </c>
      <c r="G10" s="2">
        <v>10.5</v>
      </c>
      <c r="H10" s="2" t="s">
        <v>1</v>
      </c>
      <c r="I10" s="2" t="s">
        <v>18</v>
      </c>
      <c r="J10" s="2" t="s">
        <v>55</v>
      </c>
      <c r="K10" s="2">
        <v>1367.5</v>
      </c>
    </row>
    <row r="11" spans="1:11">
      <c r="A11" s="2" t="s">
        <v>30</v>
      </c>
      <c r="B11" s="2">
        <v>202510</v>
      </c>
      <c r="C11" s="2">
        <v>2025</v>
      </c>
      <c r="D11" s="2">
        <v>10</v>
      </c>
      <c r="E11" s="2" t="s">
        <v>5</v>
      </c>
      <c r="F11" s="32">
        <v>45961</v>
      </c>
      <c r="G11" s="2">
        <v>6</v>
      </c>
      <c r="H11" s="2" t="s">
        <v>19</v>
      </c>
      <c r="I11" s="2" t="s">
        <v>18</v>
      </c>
      <c r="J11" s="2" t="s">
        <v>56</v>
      </c>
      <c r="K11" s="2">
        <v>360</v>
      </c>
    </row>
    <row r="12" spans="1:11">
      <c r="A12" s="2" t="s">
        <v>30</v>
      </c>
      <c r="B12" s="2">
        <v>202510</v>
      </c>
      <c r="C12" s="2">
        <v>2025</v>
      </c>
      <c r="D12" s="2">
        <v>10</v>
      </c>
      <c r="E12" s="2" t="s">
        <v>5</v>
      </c>
      <c r="F12" s="32">
        <v>45946</v>
      </c>
      <c r="H12" s="2" t="s">
        <v>1</v>
      </c>
      <c r="I12" s="2" t="s">
        <v>16</v>
      </c>
      <c r="J12" s="2" t="s">
        <v>55</v>
      </c>
      <c r="K12" s="2">
        <v>-713.88</v>
      </c>
    </row>
    <row r="13" spans="1:11">
      <c r="A13" s="2" t="s">
        <v>30</v>
      </c>
      <c r="B13" s="2">
        <v>202510</v>
      </c>
      <c r="C13" s="2">
        <v>2025</v>
      </c>
      <c r="D13" s="2">
        <v>10</v>
      </c>
      <c r="E13" s="2" t="s">
        <v>5</v>
      </c>
      <c r="F13" s="32">
        <v>45948</v>
      </c>
      <c r="H13" s="2" t="s">
        <v>1</v>
      </c>
      <c r="I13" s="2" t="s">
        <v>16</v>
      </c>
      <c r="J13" s="2" t="s">
        <v>55</v>
      </c>
      <c r="K13" s="2">
        <v>-1000</v>
      </c>
    </row>
    <row r="14" spans="1:11">
      <c r="A14" s="2" t="s">
        <v>30</v>
      </c>
      <c r="B14" s="2">
        <v>202510</v>
      </c>
      <c r="C14" s="2">
        <v>2025</v>
      </c>
      <c r="D14" s="2">
        <v>10</v>
      </c>
      <c r="E14" s="2" t="s">
        <v>5</v>
      </c>
      <c r="F14" s="32">
        <v>45950</v>
      </c>
      <c r="H14" s="2" t="s">
        <v>1</v>
      </c>
      <c r="I14" s="2" t="s">
        <v>16</v>
      </c>
      <c r="J14" s="2" t="s">
        <v>55</v>
      </c>
      <c r="K14" s="2">
        <v>-500</v>
      </c>
    </row>
    <row r="15" spans="1:11">
      <c r="A15" s="2" t="s">
        <v>30</v>
      </c>
      <c r="B15" s="2">
        <v>202510</v>
      </c>
      <c r="C15" s="2">
        <v>2025</v>
      </c>
      <c r="D15" s="2">
        <v>10</v>
      </c>
      <c r="E15" s="2" t="s">
        <v>5</v>
      </c>
      <c r="F15" s="32">
        <v>45933</v>
      </c>
      <c r="H15" s="2" t="s">
        <v>19</v>
      </c>
      <c r="I15" s="2" t="s">
        <v>16</v>
      </c>
      <c r="J15" s="2" t="s">
        <v>56</v>
      </c>
      <c r="K15" s="2">
        <v>-840</v>
      </c>
    </row>
    <row r="16" spans="1:11">
      <c r="A16" s="2" t="s">
        <v>31</v>
      </c>
      <c r="B16" s="2">
        <v>202511</v>
      </c>
      <c r="C16" s="2">
        <v>2025</v>
      </c>
      <c r="D16" s="2">
        <v>11</v>
      </c>
      <c r="E16" s="2" t="s">
        <v>6</v>
      </c>
      <c r="F16" s="32">
        <v>45991</v>
      </c>
      <c r="G16" s="2">
        <v>30.5</v>
      </c>
      <c r="H16" s="2" t="s">
        <v>1</v>
      </c>
      <c r="I16" s="2" t="s">
        <v>18</v>
      </c>
      <c r="J16" s="2" t="s">
        <v>54</v>
      </c>
      <c r="K16" s="2">
        <v>915</v>
      </c>
    </row>
    <row r="17" spans="1:11">
      <c r="A17" s="2" t="s">
        <v>31</v>
      </c>
      <c r="B17" s="2">
        <v>202511</v>
      </c>
      <c r="C17" s="2">
        <v>2025</v>
      </c>
      <c r="D17" s="2">
        <v>11</v>
      </c>
      <c r="E17" s="2" t="s">
        <v>6</v>
      </c>
      <c r="F17" s="32">
        <v>45991</v>
      </c>
      <c r="G17" s="2">
        <v>14.5</v>
      </c>
      <c r="H17" s="2" t="s">
        <v>1</v>
      </c>
      <c r="I17" s="2" t="s">
        <v>18</v>
      </c>
      <c r="J17" s="2" t="s">
        <v>55</v>
      </c>
      <c r="K17" s="2">
        <v>1521.5</v>
      </c>
    </row>
    <row r="18" spans="1:11">
      <c r="A18" s="2" t="s">
        <v>31</v>
      </c>
      <c r="B18" s="2">
        <v>202511</v>
      </c>
      <c r="C18" s="2">
        <v>2025</v>
      </c>
      <c r="D18" s="2">
        <v>11</v>
      </c>
      <c r="E18" s="2" t="s">
        <v>6</v>
      </c>
      <c r="F18" s="32">
        <v>45991</v>
      </c>
      <c r="G18" s="2">
        <v>7</v>
      </c>
      <c r="H18" s="2" t="s">
        <v>19</v>
      </c>
      <c r="I18" s="2" t="s">
        <v>18</v>
      </c>
      <c r="J18" s="2" t="s">
        <v>56</v>
      </c>
      <c r="K18" s="2">
        <v>420</v>
      </c>
    </row>
    <row r="19" spans="1:11">
      <c r="A19" s="2" t="s">
        <v>31</v>
      </c>
      <c r="B19" s="2">
        <v>202511</v>
      </c>
      <c r="C19" s="2">
        <v>2025</v>
      </c>
      <c r="D19" s="2">
        <v>11</v>
      </c>
      <c r="E19" s="2" t="s">
        <v>6</v>
      </c>
      <c r="F19" s="32">
        <v>45967</v>
      </c>
      <c r="H19" s="2" t="s">
        <v>1</v>
      </c>
      <c r="I19" s="2" t="s">
        <v>16</v>
      </c>
      <c r="J19" s="2" t="s">
        <v>54</v>
      </c>
      <c r="K19" s="2">
        <v>-2430</v>
      </c>
    </row>
    <row r="20" spans="1:11">
      <c r="A20" s="2" t="s">
        <v>31</v>
      </c>
      <c r="B20" s="2">
        <v>202511</v>
      </c>
      <c r="C20" s="2">
        <v>2025</v>
      </c>
      <c r="D20" s="2">
        <v>11</v>
      </c>
      <c r="E20" s="2" t="s">
        <v>6</v>
      </c>
      <c r="F20" s="32">
        <v>45981</v>
      </c>
      <c r="H20" s="2" t="s">
        <v>1</v>
      </c>
      <c r="I20" s="2" t="s">
        <v>16</v>
      </c>
      <c r="J20" s="2" t="s">
        <v>55</v>
      </c>
      <c r="K20" s="2">
        <v>-1208</v>
      </c>
    </row>
    <row r="21" spans="1:11">
      <c r="A21" s="2" t="s">
        <v>31</v>
      </c>
      <c r="B21" s="2">
        <v>202511</v>
      </c>
      <c r="C21" s="2">
        <v>2025</v>
      </c>
      <c r="D21" s="2">
        <v>11</v>
      </c>
      <c r="E21" s="2" t="s">
        <v>6</v>
      </c>
      <c r="F21" s="32">
        <v>45966</v>
      </c>
      <c r="H21" s="2" t="s">
        <v>19</v>
      </c>
      <c r="I21" s="2" t="s">
        <v>16</v>
      </c>
      <c r="J21" s="2" t="s">
        <v>56</v>
      </c>
      <c r="K21" s="2">
        <v>-360</v>
      </c>
    </row>
    <row r="22" spans="1:11">
      <c r="A22" s="2" t="s">
        <v>32</v>
      </c>
      <c r="B22" s="2">
        <v>202512</v>
      </c>
      <c r="C22" s="2">
        <v>2025</v>
      </c>
      <c r="D22" s="2">
        <v>12</v>
      </c>
      <c r="E22" s="2" t="s">
        <v>7</v>
      </c>
      <c r="F22" s="32">
        <v>46022</v>
      </c>
      <c r="G22" s="2">
        <v>8</v>
      </c>
      <c r="H22" s="2" t="s">
        <v>1</v>
      </c>
      <c r="I22" s="2" t="s">
        <v>18</v>
      </c>
      <c r="J22" s="2" t="s">
        <v>54</v>
      </c>
      <c r="K22" s="2">
        <v>240</v>
      </c>
    </row>
    <row r="23" spans="1:11">
      <c r="A23" s="2" t="s">
        <v>32</v>
      </c>
      <c r="B23" s="2">
        <v>202512</v>
      </c>
      <c r="C23" s="2">
        <v>2025</v>
      </c>
      <c r="D23" s="2">
        <v>12</v>
      </c>
      <c r="E23" s="2" t="s">
        <v>7</v>
      </c>
      <c r="F23" s="32">
        <v>46022</v>
      </c>
      <c r="G23" s="2">
        <v>2</v>
      </c>
      <c r="H23" s="2" t="s">
        <v>1</v>
      </c>
      <c r="I23" s="2" t="s">
        <v>18</v>
      </c>
      <c r="J23" s="2" t="s">
        <v>55</v>
      </c>
      <c r="K23" s="2">
        <v>1070</v>
      </c>
    </row>
    <row r="24" spans="1:11">
      <c r="A24" s="2" t="s">
        <v>32</v>
      </c>
      <c r="B24" s="2">
        <v>202512</v>
      </c>
      <c r="C24" s="2">
        <v>2025</v>
      </c>
      <c r="D24" s="2">
        <v>12</v>
      </c>
      <c r="E24" s="2" t="s">
        <v>7</v>
      </c>
      <c r="F24" s="32">
        <v>46022</v>
      </c>
      <c r="G24" s="2">
        <v>0</v>
      </c>
      <c r="H24" s="2" t="s">
        <v>19</v>
      </c>
      <c r="I24" s="2" t="s">
        <v>18</v>
      </c>
      <c r="J24" s="2" t="s">
        <v>56</v>
      </c>
      <c r="K24" s="2">
        <v>0</v>
      </c>
    </row>
    <row r="25" spans="1:11">
      <c r="A25" s="2" t="s">
        <v>32</v>
      </c>
      <c r="B25" s="2">
        <v>202512</v>
      </c>
      <c r="C25" s="2">
        <v>2025</v>
      </c>
      <c r="D25" s="2">
        <v>12</v>
      </c>
      <c r="E25" s="2" t="s">
        <v>7</v>
      </c>
      <c r="F25" s="32">
        <v>45997</v>
      </c>
      <c r="H25" s="2" t="s">
        <v>1</v>
      </c>
      <c r="I25" s="2" t="s">
        <v>16</v>
      </c>
      <c r="J25" s="2" t="s">
        <v>54</v>
      </c>
      <c r="K25" s="2">
        <v>-915</v>
      </c>
    </row>
    <row r="26" spans="1:11">
      <c r="A26" s="2" t="s">
        <v>32</v>
      </c>
      <c r="B26" s="2">
        <v>202512</v>
      </c>
      <c r="C26" s="2">
        <v>2025</v>
      </c>
      <c r="D26" s="2">
        <v>12</v>
      </c>
      <c r="E26" s="2" t="s">
        <v>7</v>
      </c>
      <c r="F26" s="32">
        <v>45998</v>
      </c>
      <c r="H26" s="2" t="s">
        <v>1</v>
      </c>
      <c r="I26" s="2" t="s">
        <v>16</v>
      </c>
      <c r="J26" s="2" t="s">
        <v>55</v>
      </c>
      <c r="K26" s="2">
        <v>-1500</v>
      </c>
    </row>
    <row r="27" spans="1:11">
      <c r="A27" s="2" t="s">
        <v>32</v>
      </c>
      <c r="B27" s="2">
        <v>202512</v>
      </c>
      <c r="C27" s="2">
        <v>2025</v>
      </c>
      <c r="D27" s="2">
        <v>12</v>
      </c>
      <c r="E27" s="2" t="s">
        <v>7</v>
      </c>
      <c r="F27" s="32">
        <v>45992</v>
      </c>
      <c r="H27" s="2" t="s">
        <v>19</v>
      </c>
      <c r="I27" s="2" t="s">
        <v>16</v>
      </c>
      <c r="J27" s="2" t="s">
        <v>56</v>
      </c>
      <c r="K27" s="2">
        <v>-420</v>
      </c>
    </row>
    <row r="28" spans="1:11">
      <c r="A28" s="2" t="s">
        <v>35</v>
      </c>
      <c r="B28" s="2">
        <v>202601</v>
      </c>
      <c r="C28" s="2">
        <v>2026</v>
      </c>
      <c r="D28" s="2">
        <v>1</v>
      </c>
      <c r="E28" s="2" t="s">
        <v>8</v>
      </c>
      <c r="F28" s="32">
        <v>46053</v>
      </c>
      <c r="G28" s="2">
        <v>0</v>
      </c>
      <c r="H28" s="2" t="s">
        <v>1</v>
      </c>
      <c r="I28" s="2" t="s">
        <v>18</v>
      </c>
      <c r="J28" s="2" t="s">
        <v>54</v>
      </c>
      <c r="K28" s="2">
        <v>0</v>
      </c>
    </row>
    <row r="29" spans="1:11">
      <c r="A29" s="2" t="s">
        <v>35</v>
      </c>
      <c r="B29" s="2">
        <v>202601</v>
      </c>
      <c r="C29" s="2">
        <v>2026</v>
      </c>
      <c r="D29" s="2">
        <v>1</v>
      </c>
      <c r="E29" s="2" t="s">
        <v>8</v>
      </c>
      <c r="F29" s="32">
        <v>46053</v>
      </c>
      <c r="G29" s="2">
        <v>0</v>
      </c>
      <c r="H29" s="2" t="s">
        <v>1</v>
      </c>
      <c r="I29" s="2" t="s">
        <v>18</v>
      </c>
      <c r="J29" s="2" t="s">
        <v>55</v>
      </c>
      <c r="K29" s="2">
        <v>1000</v>
      </c>
    </row>
    <row r="30" spans="1:11">
      <c r="A30" s="2" t="s">
        <v>35</v>
      </c>
      <c r="B30" s="2">
        <v>202601</v>
      </c>
      <c r="C30" s="2">
        <v>2026</v>
      </c>
      <c r="D30" s="2">
        <v>1</v>
      </c>
      <c r="E30" s="2" t="s">
        <v>8</v>
      </c>
      <c r="F30" s="32">
        <v>46053</v>
      </c>
      <c r="G30" s="2">
        <v>0</v>
      </c>
      <c r="H30" s="2" t="s">
        <v>19</v>
      </c>
      <c r="I30" s="2" t="s">
        <v>18</v>
      </c>
      <c r="J30" s="2" t="s">
        <v>56</v>
      </c>
      <c r="K30" s="2">
        <v>0</v>
      </c>
    </row>
    <row r="31" spans="1:11">
      <c r="A31" s="2" t="s">
        <v>35</v>
      </c>
      <c r="B31" s="2">
        <v>202601</v>
      </c>
      <c r="C31" s="2">
        <v>2026</v>
      </c>
      <c r="D31" s="2">
        <v>1</v>
      </c>
      <c r="E31" s="2" t="s">
        <v>8</v>
      </c>
      <c r="F31" s="32">
        <v>46026</v>
      </c>
      <c r="H31" s="2" t="s">
        <v>1</v>
      </c>
      <c r="I31" s="2" t="s">
        <v>16</v>
      </c>
      <c r="J31" s="2" t="s">
        <v>55</v>
      </c>
      <c r="K31" s="2">
        <v>-1000</v>
      </c>
    </row>
    <row r="32" spans="1:11">
      <c r="A32" s="2" t="s">
        <v>35</v>
      </c>
      <c r="B32" s="2">
        <v>202601</v>
      </c>
      <c r="C32" s="2">
        <v>2026</v>
      </c>
      <c r="D32" s="2">
        <v>1</v>
      </c>
      <c r="E32" s="2" t="s">
        <v>8</v>
      </c>
      <c r="F32" s="32">
        <v>46045</v>
      </c>
      <c r="H32" s="2" t="s">
        <v>1</v>
      </c>
      <c r="I32" s="2" t="s">
        <v>16</v>
      </c>
      <c r="J32" s="2" t="s">
        <v>55</v>
      </c>
      <c r="K32" s="2">
        <v>-579.62</v>
      </c>
    </row>
    <row r="33" spans="1:11">
      <c r="A33" s="2" t="s">
        <v>33</v>
      </c>
      <c r="B33" s="2">
        <v>202602</v>
      </c>
      <c r="C33" s="2">
        <v>2026</v>
      </c>
      <c r="D33" s="2">
        <v>2</v>
      </c>
      <c r="E33" s="2" t="s">
        <v>9</v>
      </c>
      <c r="F33" s="32">
        <v>46081</v>
      </c>
      <c r="G33" s="2">
        <v>5.5</v>
      </c>
      <c r="H33" s="2" t="s">
        <v>1</v>
      </c>
      <c r="I33" s="2" t="s">
        <v>18</v>
      </c>
      <c r="J33" s="2" t="s">
        <v>54</v>
      </c>
      <c r="K33" s="2">
        <v>165</v>
      </c>
    </row>
    <row r="34" spans="1:11">
      <c r="A34" s="2" t="s">
        <v>33</v>
      </c>
      <c r="B34" s="2">
        <v>202602</v>
      </c>
      <c r="C34" s="2">
        <v>2026</v>
      </c>
      <c r="D34" s="2">
        <v>2</v>
      </c>
      <c r="E34" s="2" t="s">
        <v>9</v>
      </c>
      <c r="F34" s="32">
        <v>46081</v>
      </c>
      <c r="G34" s="2">
        <v>1.5</v>
      </c>
      <c r="H34" s="2" t="s">
        <v>1</v>
      </c>
      <c r="I34" s="2" t="s">
        <v>18</v>
      </c>
      <c r="J34" s="2" t="s">
        <v>55</v>
      </c>
      <c r="K34" s="2">
        <v>1052.5</v>
      </c>
    </row>
    <row r="35" spans="1:11">
      <c r="A35" s="2" t="s">
        <v>33</v>
      </c>
      <c r="B35" s="2">
        <v>202602</v>
      </c>
      <c r="C35" s="2">
        <v>2026</v>
      </c>
      <c r="D35" s="2">
        <v>2</v>
      </c>
      <c r="E35" s="2" t="s">
        <v>9</v>
      </c>
      <c r="F35" s="32">
        <v>46081</v>
      </c>
      <c r="G35" s="2">
        <v>6</v>
      </c>
      <c r="H35" s="2" t="s">
        <v>19</v>
      </c>
      <c r="I35" s="2" t="s">
        <v>18</v>
      </c>
      <c r="J35" s="2" t="s">
        <v>56</v>
      </c>
      <c r="K35" s="2">
        <v>360</v>
      </c>
    </row>
    <row r="36" spans="1:11">
      <c r="A36" s="2" t="s">
        <v>33</v>
      </c>
      <c r="B36" s="2">
        <v>202602</v>
      </c>
      <c r="C36" s="2">
        <v>2026</v>
      </c>
      <c r="D36" s="2">
        <v>2</v>
      </c>
      <c r="E36" s="2" t="s">
        <v>9</v>
      </c>
      <c r="F36" s="32">
        <v>46058</v>
      </c>
      <c r="H36" s="2" t="s">
        <v>1</v>
      </c>
      <c r="I36" s="2" t="s">
        <v>16</v>
      </c>
      <c r="J36" s="2" t="s">
        <v>55</v>
      </c>
      <c r="K36" s="2">
        <v>-1000</v>
      </c>
    </row>
    <row r="37" spans="1:11">
      <c r="A37" s="2" t="s">
        <v>34</v>
      </c>
      <c r="B37" s="2">
        <v>202603</v>
      </c>
      <c r="C37" s="2">
        <v>2026</v>
      </c>
      <c r="D37" s="2">
        <v>3</v>
      </c>
      <c r="E37" s="2" t="s">
        <v>10</v>
      </c>
      <c r="F37" s="32">
        <v>46112</v>
      </c>
      <c r="G37" s="2">
        <v>31.25</v>
      </c>
      <c r="H37" s="2" t="s">
        <v>1</v>
      </c>
      <c r="I37" s="2" t="s">
        <v>18</v>
      </c>
      <c r="J37" s="2" t="s">
        <v>54</v>
      </c>
      <c r="K37" s="2">
        <v>937.5</v>
      </c>
    </row>
    <row r="38" spans="1:11">
      <c r="A38" s="2" t="s">
        <v>34</v>
      </c>
      <c r="B38" s="2">
        <v>202603</v>
      </c>
      <c r="C38" s="2">
        <v>2026</v>
      </c>
      <c r="D38" s="2">
        <v>3</v>
      </c>
      <c r="E38" s="2" t="s">
        <v>10</v>
      </c>
      <c r="F38" s="32">
        <v>46112</v>
      </c>
      <c r="G38" s="2">
        <v>12.5</v>
      </c>
      <c r="H38" s="2" t="s">
        <v>1</v>
      </c>
      <c r="I38" s="2" t="s">
        <v>18</v>
      </c>
      <c r="J38" s="2" t="s">
        <v>55</v>
      </c>
      <c r="K38" s="2">
        <v>1437.5</v>
      </c>
    </row>
    <row r="39" spans="1:11">
      <c r="A39" s="2" t="s">
        <v>34</v>
      </c>
      <c r="B39" s="2">
        <v>202603</v>
      </c>
      <c r="C39" s="2">
        <v>2026</v>
      </c>
      <c r="D39" s="2">
        <v>3</v>
      </c>
      <c r="E39" s="2" t="s">
        <v>10</v>
      </c>
      <c r="F39" s="32">
        <v>46112</v>
      </c>
      <c r="G39" s="2">
        <v>14</v>
      </c>
      <c r="H39" s="2" t="s">
        <v>19</v>
      </c>
      <c r="I39" s="2" t="s">
        <v>18</v>
      </c>
      <c r="J39" s="2" t="s">
        <v>56</v>
      </c>
      <c r="K39" s="2">
        <v>840</v>
      </c>
    </row>
    <row r="40" spans="1:11">
      <c r="A40" s="2" t="s">
        <v>34</v>
      </c>
      <c r="B40" s="2">
        <v>202603</v>
      </c>
      <c r="C40" s="2">
        <v>2026</v>
      </c>
      <c r="D40" s="2">
        <v>3</v>
      </c>
      <c r="E40" s="2" t="s">
        <v>10</v>
      </c>
      <c r="F40" s="32">
        <v>46083</v>
      </c>
      <c r="H40" s="2" t="s">
        <v>1</v>
      </c>
      <c r="I40" s="2" t="s">
        <v>16</v>
      </c>
      <c r="J40" s="2" t="s">
        <v>55</v>
      </c>
      <c r="K40" s="2">
        <v>-1000</v>
      </c>
    </row>
    <row r="41" spans="1:11">
      <c r="A41" s="2" t="s">
        <v>34</v>
      </c>
      <c r="B41" s="2">
        <v>202603</v>
      </c>
      <c r="C41" s="2">
        <v>2026</v>
      </c>
      <c r="D41" s="2">
        <v>3</v>
      </c>
      <c r="E41" s="2" t="s">
        <v>10</v>
      </c>
      <c r="F41" s="32">
        <v>46083</v>
      </c>
      <c r="H41" s="2" t="s">
        <v>19</v>
      </c>
      <c r="I41" s="2" t="s">
        <v>16</v>
      </c>
      <c r="J41" s="2" t="s">
        <v>56</v>
      </c>
      <c r="K41" s="2">
        <v>-360</v>
      </c>
    </row>
    <row r="42" spans="1:11">
      <c r="A42" s="2" t="s">
        <v>42</v>
      </c>
      <c r="B42" s="2">
        <v>202604</v>
      </c>
      <c r="C42" s="2">
        <v>2026</v>
      </c>
      <c r="D42" s="2">
        <v>4</v>
      </c>
      <c r="E42" s="2" t="s">
        <v>43</v>
      </c>
      <c r="F42" s="32">
        <v>46142</v>
      </c>
      <c r="G42" s="2">
        <v>21.5</v>
      </c>
      <c r="H42" s="2" t="s">
        <v>1</v>
      </c>
      <c r="I42" s="2" t="s">
        <v>18</v>
      </c>
      <c r="J42" s="2" t="s">
        <v>54</v>
      </c>
      <c r="K42" s="2">
        <v>645</v>
      </c>
    </row>
    <row r="43" spans="1:11">
      <c r="A43" s="2" t="s">
        <v>42</v>
      </c>
      <c r="B43" s="2">
        <v>202604</v>
      </c>
      <c r="C43" s="2">
        <v>2026</v>
      </c>
      <c r="D43" s="2">
        <v>4</v>
      </c>
      <c r="E43" s="2" t="s">
        <v>43</v>
      </c>
      <c r="F43" s="32">
        <v>46142</v>
      </c>
      <c r="G43" s="2">
        <v>5</v>
      </c>
      <c r="H43" s="2" t="s">
        <v>1</v>
      </c>
      <c r="I43" s="2" t="s">
        <v>18</v>
      </c>
      <c r="J43" s="2" t="s">
        <v>55</v>
      </c>
      <c r="K43" s="2">
        <v>1175</v>
      </c>
    </row>
    <row r="44" spans="1:11">
      <c r="A44" s="2" t="s">
        <v>42</v>
      </c>
      <c r="B44" s="2">
        <v>202604</v>
      </c>
      <c r="C44" s="2">
        <v>2026</v>
      </c>
      <c r="D44" s="2">
        <v>4</v>
      </c>
      <c r="E44" s="2" t="s">
        <v>43</v>
      </c>
      <c r="F44" s="32">
        <v>46142</v>
      </c>
      <c r="G44" s="2">
        <v>6</v>
      </c>
      <c r="H44" s="2" t="s">
        <v>19</v>
      </c>
      <c r="I44" s="2" t="s">
        <v>47</v>
      </c>
      <c r="J44" s="2" t="s">
        <v>56</v>
      </c>
      <c r="K44" s="2">
        <v>360</v>
      </c>
    </row>
    <row r="45" spans="1:11">
      <c r="A45" s="2" t="s">
        <v>42</v>
      </c>
      <c r="B45" s="2">
        <v>202604</v>
      </c>
      <c r="C45" s="2">
        <v>2026</v>
      </c>
      <c r="D45" s="2">
        <v>4</v>
      </c>
      <c r="E45" s="2" t="s">
        <v>43</v>
      </c>
      <c r="F45" s="32">
        <v>46142</v>
      </c>
      <c r="G45" s="2">
        <v>10</v>
      </c>
      <c r="H45" s="2" t="s">
        <v>44</v>
      </c>
      <c r="I45" s="2" t="s">
        <v>18</v>
      </c>
      <c r="J45" s="2" t="s">
        <v>57</v>
      </c>
      <c r="K45" s="2">
        <v>1625</v>
      </c>
    </row>
    <row r="46" spans="1:11">
      <c r="A46" s="2" t="s">
        <v>42</v>
      </c>
      <c r="B46" s="2">
        <v>202604</v>
      </c>
      <c r="C46" s="2">
        <v>2026</v>
      </c>
      <c r="D46" s="2">
        <v>4</v>
      </c>
      <c r="E46" s="2" t="s">
        <v>43</v>
      </c>
      <c r="F46" s="32">
        <v>46114</v>
      </c>
      <c r="H46" s="2" t="s">
        <v>1</v>
      </c>
      <c r="I46" s="2" t="s">
        <v>16</v>
      </c>
      <c r="J46" s="2" t="s">
        <v>55</v>
      </c>
      <c r="K46" s="2">
        <v>-1000</v>
      </c>
    </row>
    <row r="47" spans="1:11">
      <c r="A47" s="2" t="s">
        <v>42</v>
      </c>
      <c r="B47" s="2">
        <v>202604</v>
      </c>
      <c r="C47" s="2">
        <v>2026</v>
      </c>
      <c r="D47" s="2">
        <v>4</v>
      </c>
      <c r="E47" s="2" t="s">
        <v>43</v>
      </c>
      <c r="F47" s="32">
        <v>46120</v>
      </c>
      <c r="H47" s="2" t="s">
        <v>1</v>
      </c>
      <c r="I47" s="2" t="s">
        <v>16</v>
      </c>
      <c r="J47" s="2" t="s">
        <v>55</v>
      </c>
      <c r="K47" s="2">
        <v>-490</v>
      </c>
    </row>
    <row r="48" spans="1:11">
      <c r="A48" s="2" t="s">
        <v>42</v>
      </c>
      <c r="B48" s="2">
        <v>202604</v>
      </c>
      <c r="C48" s="2">
        <v>2026</v>
      </c>
      <c r="D48" s="2">
        <v>4</v>
      </c>
      <c r="E48" s="2" t="s">
        <v>43</v>
      </c>
      <c r="F48" s="32">
        <v>46116</v>
      </c>
      <c r="H48" s="2" t="s">
        <v>19</v>
      </c>
      <c r="I48" s="2" t="s">
        <v>16</v>
      </c>
      <c r="J48" s="2" t="s">
        <v>56</v>
      </c>
      <c r="K48" s="2">
        <v>-840</v>
      </c>
    </row>
    <row r="49" spans="1:11">
      <c r="A49" s="2" t="s">
        <v>42</v>
      </c>
      <c r="B49" s="2">
        <v>202604</v>
      </c>
      <c r="C49" s="2">
        <v>2026</v>
      </c>
      <c r="D49" s="2">
        <v>4</v>
      </c>
      <c r="E49" s="2" t="s">
        <v>43</v>
      </c>
      <c r="F49" s="32">
        <v>46126</v>
      </c>
      <c r="H49" s="2" t="s">
        <v>44</v>
      </c>
      <c r="I49" s="2" t="s">
        <v>16</v>
      </c>
      <c r="J49" s="2" t="s">
        <v>57</v>
      </c>
      <c r="K49" s="2">
        <v>-750</v>
      </c>
    </row>
    <row r="50" spans="1:11">
      <c r="A50" s="2" t="s">
        <v>42</v>
      </c>
      <c r="B50" s="2">
        <v>202604</v>
      </c>
      <c r="C50" s="2">
        <v>2026</v>
      </c>
      <c r="D50" s="2">
        <v>4</v>
      </c>
      <c r="E50" s="2" t="s">
        <v>43</v>
      </c>
      <c r="F50" s="32">
        <v>46133</v>
      </c>
      <c r="H50" s="2" t="s">
        <v>44</v>
      </c>
      <c r="I50" s="2" t="s">
        <v>16</v>
      </c>
      <c r="J50" s="2" t="s">
        <v>57</v>
      </c>
      <c r="K50" s="2">
        <v>-875</v>
      </c>
    </row>
    <row r="51" spans="1:11">
      <c r="A51" s="2" t="s">
        <v>45</v>
      </c>
      <c r="B51" s="2">
        <v>202605</v>
      </c>
      <c r="C51" s="2">
        <v>2026</v>
      </c>
      <c r="D51" s="2">
        <v>5</v>
      </c>
      <c r="E51" s="2" t="s">
        <v>46</v>
      </c>
      <c r="F51" s="32">
        <v>46173</v>
      </c>
      <c r="G51" s="2">
        <v>43</v>
      </c>
      <c r="H51" s="2" t="s">
        <v>1</v>
      </c>
      <c r="I51" s="2" t="s">
        <v>47</v>
      </c>
      <c r="J51" s="2" t="s">
        <v>54</v>
      </c>
      <c r="K51" s="2">
        <v>1290</v>
      </c>
    </row>
    <row r="52" spans="1:11">
      <c r="A52" s="2" t="s">
        <v>45</v>
      </c>
      <c r="B52" s="2">
        <v>202605</v>
      </c>
      <c r="C52" s="2">
        <v>2026</v>
      </c>
      <c r="D52" s="2">
        <v>5</v>
      </c>
      <c r="E52" s="2" t="s">
        <v>46</v>
      </c>
      <c r="F52" s="32">
        <v>46173</v>
      </c>
      <c r="G52" s="2">
        <v>16</v>
      </c>
      <c r="H52" s="2" t="s">
        <v>1</v>
      </c>
      <c r="I52" s="2" t="s">
        <v>47</v>
      </c>
      <c r="J52" s="2" t="s">
        <v>55</v>
      </c>
      <c r="K52" s="2">
        <v>1560</v>
      </c>
    </row>
    <row r="53" spans="1:11">
      <c r="A53" s="2" t="s">
        <v>45</v>
      </c>
      <c r="B53" s="2">
        <v>202605</v>
      </c>
      <c r="C53" s="2">
        <v>2026</v>
      </c>
      <c r="D53" s="2">
        <v>5</v>
      </c>
      <c r="E53" s="2" t="s">
        <v>46</v>
      </c>
      <c r="F53" s="32">
        <v>46173</v>
      </c>
      <c r="G53" s="2">
        <v>6</v>
      </c>
      <c r="H53" s="2" t="s">
        <v>19</v>
      </c>
      <c r="I53" s="2" t="s">
        <v>47</v>
      </c>
      <c r="J53" s="2" t="s">
        <v>56</v>
      </c>
      <c r="K53" s="2">
        <v>360</v>
      </c>
    </row>
    <row r="54" spans="1:11">
      <c r="A54" s="2" t="s">
        <v>45</v>
      </c>
      <c r="B54" s="2">
        <v>202605</v>
      </c>
      <c r="C54" s="2">
        <v>2026</v>
      </c>
      <c r="D54" s="2">
        <v>5</v>
      </c>
      <c r="E54" s="2" t="s">
        <v>46</v>
      </c>
      <c r="F54" s="32">
        <v>46173</v>
      </c>
      <c r="G54" s="2">
        <v>0</v>
      </c>
      <c r="H54" s="2" t="s">
        <v>44</v>
      </c>
      <c r="I54" s="2" t="s">
        <v>18</v>
      </c>
      <c r="J54" s="2" t="s">
        <v>57</v>
      </c>
      <c r="K54" s="2">
        <v>0</v>
      </c>
    </row>
    <row r="55" spans="1:11">
      <c r="A55" s="2" t="s">
        <v>48</v>
      </c>
      <c r="B55" s="2">
        <v>202606</v>
      </c>
      <c r="C55" s="2">
        <v>2026</v>
      </c>
      <c r="D55" s="2">
        <v>6</v>
      </c>
      <c r="E55" s="2" t="s">
        <v>49</v>
      </c>
      <c r="F55" s="32">
        <v>46203</v>
      </c>
      <c r="G55" s="2">
        <v>43</v>
      </c>
      <c r="H55" s="2" t="s">
        <v>1</v>
      </c>
      <c r="I55" s="2" t="s">
        <v>47</v>
      </c>
      <c r="J55" s="2" t="s">
        <v>54</v>
      </c>
      <c r="K55" s="2">
        <v>1290</v>
      </c>
    </row>
    <row r="56" spans="1:11">
      <c r="A56" s="2" t="s">
        <v>48</v>
      </c>
      <c r="B56" s="2">
        <v>202606</v>
      </c>
      <c r="C56" s="2">
        <v>2026</v>
      </c>
      <c r="D56" s="2">
        <v>6</v>
      </c>
      <c r="E56" s="2" t="s">
        <v>49</v>
      </c>
      <c r="F56" s="32">
        <v>46203</v>
      </c>
      <c r="G56" s="2">
        <v>7.5</v>
      </c>
      <c r="H56" s="2" t="s">
        <v>1</v>
      </c>
      <c r="I56" s="2" t="s">
        <v>47</v>
      </c>
      <c r="J56" s="2" t="s">
        <v>55</v>
      </c>
      <c r="K56" s="2">
        <v>1262.5</v>
      </c>
    </row>
    <row r="57" spans="1:11">
      <c r="A57" s="2" t="s">
        <v>48</v>
      </c>
      <c r="B57" s="2">
        <v>202606</v>
      </c>
      <c r="C57" s="2">
        <v>2026</v>
      </c>
      <c r="D57" s="2">
        <v>6</v>
      </c>
      <c r="E57" s="2" t="s">
        <v>49</v>
      </c>
      <c r="F57" s="32">
        <v>46203</v>
      </c>
      <c r="G57" s="2">
        <v>0</v>
      </c>
      <c r="H57" s="2" t="s">
        <v>19</v>
      </c>
      <c r="I57" s="2" t="s">
        <v>47</v>
      </c>
      <c r="J57" s="2" t="s">
        <v>56</v>
      </c>
      <c r="K57" s="2">
        <v>0</v>
      </c>
    </row>
    <row r="58" spans="1:11">
      <c r="A58" s="2" t="s">
        <v>48</v>
      </c>
      <c r="B58" s="2">
        <v>202606</v>
      </c>
      <c r="C58" s="2">
        <v>2026</v>
      </c>
      <c r="D58" s="2">
        <v>6</v>
      </c>
      <c r="E58" s="2" t="s">
        <v>49</v>
      </c>
      <c r="F58" s="32">
        <v>46203</v>
      </c>
      <c r="G58" s="2">
        <v>0</v>
      </c>
      <c r="H58" s="2" t="s">
        <v>44</v>
      </c>
      <c r="I58" s="2" t="s">
        <v>18</v>
      </c>
      <c r="J58" s="2" t="s">
        <v>57</v>
      </c>
      <c r="K58" s="2">
        <v>0</v>
      </c>
    </row>
    <row r="59" spans="1:11">
      <c r="A59" s="2" t="s">
        <v>50</v>
      </c>
      <c r="B59" s="2">
        <v>202607</v>
      </c>
      <c r="C59" s="2">
        <v>2026</v>
      </c>
      <c r="D59" s="2">
        <v>7</v>
      </c>
      <c r="E59" s="2" t="s">
        <v>51</v>
      </c>
      <c r="F59" s="32">
        <v>46234</v>
      </c>
      <c r="G59" s="2">
        <v>0</v>
      </c>
      <c r="H59" s="2" t="s">
        <v>1</v>
      </c>
      <c r="I59" s="2" t="s">
        <v>47</v>
      </c>
      <c r="J59" s="2" t="s">
        <v>54</v>
      </c>
      <c r="K59" s="2">
        <v>0</v>
      </c>
    </row>
    <row r="60" spans="1:11">
      <c r="A60" s="2" t="s">
        <v>50</v>
      </c>
      <c r="B60" s="2">
        <v>202607</v>
      </c>
      <c r="C60" s="2">
        <v>2026</v>
      </c>
      <c r="D60" s="2">
        <v>7</v>
      </c>
      <c r="E60" s="2" t="s">
        <v>51</v>
      </c>
      <c r="F60" s="32">
        <v>46234</v>
      </c>
      <c r="G60" s="2">
        <v>0</v>
      </c>
      <c r="H60" s="2" t="s">
        <v>1</v>
      </c>
      <c r="I60" s="2" t="s">
        <v>47</v>
      </c>
      <c r="J60" s="2" t="s">
        <v>55</v>
      </c>
      <c r="K60" s="2">
        <v>1000</v>
      </c>
    </row>
    <row r="61" spans="1:11">
      <c r="A61" s="2" t="s">
        <v>50</v>
      </c>
      <c r="B61" s="2">
        <v>202607</v>
      </c>
      <c r="C61" s="2">
        <v>2026</v>
      </c>
      <c r="D61" s="2">
        <v>7</v>
      </c>
      <c r="E61" s="2" t="s">
        <v>51</v>
      </c>
      <c r="F61" s="32">
        <v>46234</v>
      </c>
      <c r="G61" s="2">
        <v>0</v>
      </c>
      <c r="H61" s="2" t="s">
        <v>19</v>
      </c>
      <c r="I61" s="2" t="s">
        <v>47</v>
      </c>
      <c r="J61" s="2" t="s">
        <v>56</v>
      </c>
      <c r="K61" s="2">
        <v>0</v>
      </c>
    </row>
    <row r="62" spans="1:11">
      <c r="A62" s="2" t="s">
        <v>50</v>
      </c>
      <c r="B62" s="2">
        <v>202607</v>
      </c>
      <c r="C62" s="2">
        <v>2026</v>
      </c>
      <c r="D62" s="2">
        <v>7</v>
      </c>
      <c r="E62" s="2" t="s">
        <v>51</v>
      </c>
      <c r="F62" s="32">
        <v>46234</v>
      </c>
      <c r="G62" s="2">
        <v>13</v>
      </c>
      <c r="H62" s="2" t="s">
        <v>44</v>
      </c>
      <c r="I62" s="2" t="s">
        <v>47</v>
      </c>
      <c r="J62" s="2" t="s">
        <v>57</v>
      </c>
      <c r="K62" s="2">
        <v>2275</v>
      </c>
    </row>
    <row r="63" spans="1:11">
      <c r="A63" s="2" t="s">
        <v>52</v>
      </c>
      <c r="B63" s="2">
        <v>202608</v>
      </c>
      <c r="C63" s="2">
        <v>2026</v>
      </c>
      <c r="D63" s="2">
        <v>8</v>
      </c>
      <c r="E63" s="2" t="s">
        <v>3</v>
      </c>
      <c r="F63" s="32">
        <v>46265</v>
      </c>
      <c r="G63" s="2">
        <v>15</v>
      </c>
      <c r="H63" s="2" t="s">
        <v>44</v>
      </c>
      <c r="I63" s="2" t="s">
        <v>47</v>
      </c>
      <c r="J63" s="2" t="s">
        <v>57</v>
      </c>
      <c r="K63" s="2">
        <v>2875</v>
      </c>
    </row>
  </sheetData>
  <pageMargins left="0.7" right="0.7" top="0.75" bottom="0.75" header="0.3" footer="0.3"/>
  <pageSetup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3090D-F90F-7A43-8681-FF9AF9A7F8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pivot_tables</vt:lpstr>
      <vt:lpstr>fact_earnings</vt:lpstr>
      <vt:lpstr>HOURS_GAMES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Galimberti</dc:creator>
  <cp:keywords/>
  <dc:description/>
  <cp:lastModifiedBy>Luciana Galimberti</cp:lastModifiedBy>
  <cp:lastPrinted>2026-04-25T01:57:23Z</cp:lastPrinted>
  <dcterms:created xsi:type="dcterms:W3CDTF">2026-03-26T00:44:07Z</dcterms:created>
  <dcterms:modified xsi:type="dcterms:W3CDTF">2026-04-25T05:37:41Z</dcterms:modified>
  <cp:category/>
</cp:coreProperties>
</file>