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cachu/Data analysis/Projects/Personal Earning/"/>
    </mc:Choice>
  </mc:AlternateContent>
  <xr:revisionPtr revIDLastSave="0" documentId="13_ncr:1_{F91D1664-F08F-4C47-B7FB-2B09E0D965EF}" xr6:coauthVersionLast="47" xr6:coauthVersionMax="47" xr10:uidLastSave="{00000000-0000-0000-0000-000000000000}"/>
  <bookViews>
    <workbookView xWindow="-38400" yWindow="500" windowWidth="38400" windowHeight="23500" xr2:uid="{BBF7D8BA-7155-854A-91AF-168B83D374CE}"/>
  </bookViews>
  <sheets>
    <sheet name="Summary" sheetId="3" r:id="rId1"/>
    <sheet name="Seas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24" i="1"/>
  <c r="L24" i="1"/>
  <c r="L25" i="1" s="1"/>
  <c r="C14" i="3"/>
  <c r="C28" i="3"/>
  <c r="AD5" i="1"/>
  <c r="B6" i="3" s="1"/>
  <c r="C5" i="1"/>
  <c r="B3" i="3" s="1"/>
  <c r="L5" i="1"/>
  <c r="B4" i="3" s="1"/>
  <c r="U5" i="1"/>
  <c r="B5" i="3" s="1"/>
  <c r="AD6" i="1" l="1"/>
  <c r="C6" i="3" s="1"/>
  <c r="L6" i="1"/>
  <c r="C4" i="3" s="1"/>
  <c r="U6" i="1"/>
  <c r="C5" i="3" s="1"/>
  <c r="C6" i="1"/>
  <c r="C3" i="3" s="1"/>
  <c r="U24" i="1"/>
  <c r="AD24" i="1"/>
  <c r="B12" i="3" s="1"/>
  <c r="C10" i="3" l="1"/>
  <c r="B10" i="3"/>
  <c r="AD25" i="1"/>
  <c r="U25" i="1"/>
  <c r="C11" i="3" s="1"/>
  <c r="B11" i="3"/>
  <c r="C25" i="1"/>
  <c r="B9" i="3"/>
  <c r="C43" i="1"/>
  <c r="C12" i="3" l="1"/>
  <c r="B15" i="3"/>
  <c r="C9" i="3"/>
  <c r="C15" i="3" s="1"/>
  <c r="C45" i="1"/>
  <c r="C30" i="3" l="1"/>
</calcChain>
</file>

<file path=xl/sharedStrings.xml><?xml version="1.0" encoding="utf-8"?>
<sst xmlns="http://schemas.openxmlformats.org/spreadsheetml/2006/main" count="218" uniqueCount="101">
  <si>
    <t>Date</t>
  </si>
  <si>
    <t>Per Game</t>
  </si>
  <si>
    <t>Total Games</t>
  </si>
  <si>
    <t>Total:</t>
  </si>
  <si>
    <t>August</t>
  </si>
  <si>
    <t>September</t>
  </si>
  <si>
    <t>October</t>
  </si>
  <si>
    <t>November</t>
  </si>
  <si>
    <t>February</t>
  </si>
  <si>
    <t>March</t>
  </si>
  <si>
    <t>April</t>
  </si>
  <si>
    <t>May</t>
  </si>
  <si>
    <t>Girls</t>
  </si>
  <si>
    <t>Boys</t>
  </si>
  <si>
    <t>Vs WS</t>
  </si>
  <si>
    <t>Vs Douai</t>
  </si>
  <si>
    <t>U19G Vs Well</t>
  </si>
  <si>
    <t>U14 Vs Ping</t>
  </si>
  <si>
    <t>U16 Vs Herakles</t>
  </si>
  <si>
    <t>U19 Vs Antrwerp</t>
  </si>
  <si>
    <t>U14 Vs Malines</t>
  </si>
  <si>
    <t>U19 Vs Well</t>
  </si>
  <si>
    <t>M1 Vs Leuven</t>
  </si>
  <si>
    <t>M1 Vs WS</t>
  </si>
  <si>
    <t>D1 Vs WS</t>
  </si>
  <si>
    <t>Total</t>
  </si>
  <si>
    <t>U19 Vs Dragons</t>
  </si>
  <si>
    <t>2025 Total</t>
  </si>
  <si>
    <t>BENEF.</t>
  </si>
  <si>
    <t>Amount</t>
  </si>
  <si>
    <t>To Be Paid</t>
  </si>
  <si>
    <t>Games</t>
  </si>
  <si>
    <t>M1 vs Team 1</t>
  </si>
  <si>
    <t>M1 vs Team 2</t>
  </si>
  <si>
    <t>2026 Total</t>
  </si>
  <si>
    <t>D1 Vs Bee</t>
  </si>
  <si>
    <t>Details</t>
  </si>
  <si>
    <t>Nov</t>
  </si>
  <si>
    <t>Feb</t>
  </si>
  <si>
    <t>Aug</t>
  </si>
  <si>
    <t>Sep</t>
  </si>
  <si>
    <t>Oct</t>
  </si>
  <si>
    <t>SEASON 25-26</t>
  </si>
  <si>
    <t>Quantity</t>
  </si>
  <si>
    <t>Type</t>
  </si>
  <si>
    <t>Expected</t>
  </si>
  <si>
    <t>Club</t>
  </si>
  <si>
    <t>Category</t>
  </si>
  <si>
    <t>Paid</t>
  </si>
  <si>
    <t>Mar</t>
  </si>
  <si>
    <t>Estimated</t>
  </si>
  <si>
    <t>M1 vs WS</t>
  </si>
  <si>
    <t>M1 vs Wellington</t>
  </si>
  <si>
    <t>M1 vs Baudouin</t>
  </si>
  <si>
    <t>D1 vs WS</t>
  </si>
  <si>
    <t>U16 vs WD</t>
  </si>
  <si>
    <t>Orange Titans</t>
  </si>
  <si>
    <t>D1 - Orange Titans</t>
  </si>
  <si>
    <t>Orange Titans H.C</t>
  </si>
  <si>
    <t>Vs Riverside</t>
  </si>
  <si>
    <t>D1 Vs Riverside</t>
  </si>
  <si>
    <t>Vs Old Bridge</t>
  </si>
  <si>
    <t>D1 Vs Old Bridge</t>
  </si>
  <si>
    <t>D1 vs Old Bridge</t>
  </si>
  <si>
    <t>Vs Greenfield</t>
  </si>
  <si>
    <t>U16 vs Greenfield</t>
  </si>
  <si>
    <t>M1 vs Greenfield</t>
  </si>
  <si>
    <t>Vs Montgomery</t>
  </si>
  <si>
    <t>U16 Vs Montgomery</t>
  </si>
  <si>
    <t>D1 Vs Montgomery</t>
  </si>
  <si>
    <t>Bau Vs Ras (Part 1)</t>
  </si>
  <si>
    <t>Bau Vs Ras (Part 2)</t>
  </si>
  <si>
    <t>M1 Vs Royal Oak</t>
  </si>
  <si>
    <t>D1 vs Royal Oak</t>
  </si>
  <si>
    <t>U19G Vs Leoneld</t>
  </si>
  <si>
    <t>D1 vs Indian hc</t>
  </si>
  <si>
    <t>D1 vs Old Boys Club</t>
  </si>
  <si>
    <t>M1 vs Silverwood</t>
  </si>
  <si>
    <t>M1 vs Union Park</t>
  </si>
  <si>
    <t>D1 vs Union Park</t>
  </si>
  <si>
    <t>M1 Vs Langeland</t>
  </si>
  <si>
    <t>Vs Royal Oak</t>
  </si>
  <si>
    <t>U19B Vs New Park</t>
  </si>
  <si>
    <t>D1 vs Forest</t>
  </si>
  <si>
    <t>D1 vs St. Hubert</t>
  </si>
  <si>
    <t>Vs St. Hubert</t>
  </si>
  <si>
    <t>D1 Vs North Field</t>
  </si>
  <si>
    <t>M1 Vs North Field</t>
  </si>
  <si>
    <t>Vs North Field</t>
  </si>
  <si>
    <t>U16 Vs North Field</t>
  </si>
  <si>
    <t>D1 vs North Field</t>
  </si>
  <si>
    <t>M1 vs North Field</t>
  </si>
  <si>
    <t>M1 vs Evergreen HC</t>
  </si>
  <si>
    <t>M1 vs Olympic Circle</t>
  </si>
  <si>
    <t>Ant-Blue Crest</t>
  </si>
  <si>
    <t>M1 vs Blue Crest</t>
  </si>
  <si>
    <t>D1 Vs Brugeston</t>
  </si>
  <si>
    <t>U16B Vs Racing Union HC</t>
  </si>
  <si>
    <t>M1 Vs Racing Union HC</t>
  </si>
  <si>
    <t>M1 vs Racing Union HC</t>
  </si>
  <si>
    <t>Vs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</si>
</sst>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80C]"/>
    <numFmt numFmtId="165" formatCode="_-* #,##0.00\ &quot;€&quot;_-;\-* #,##0.00\ &quot;€&quot;_-;_-* &quot;-&quot;??\ &quot;€&quot;_-;_-@_-"/>
    <numFmt numFmtId="166" formatCode="yyyy\-mm\-dd;@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ptos Narrow"/>
    </font>
    <font>
      <b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indexed="8"/>
      <name val="Arial"/>
      <family val="2"/>
    </font>
    <font>
      <b/>
      <sz val="12"/>
      <color indexed="8"/>
      <name val="Helvetica Neue"/>
      <family val="2"/>
    </font>
    <font>
      <sz val="8"/>
      <name val="Calibri"/>
      <family val="2"/>
      <scheme val="minor"/>
    </font>
    <font>
      <sz val="14"/>
      <color indexed="8"/>
      <name val="Calibri Light"/>
      <family val="2"/>
      <scheme val="major"/>
    </font>
    <font>
      <b/>
      <sz val="14"/>
      <color indexed="8"/>
      <name val="Helvetica Neue"/>
      <family val="2"/>
    </font>
    <font>
      <sz val="14"/>
      <color theme="1"/>
      <name val="Arial"/>
      <family val="2"/>
    </font>
    <font>
      <sz val="14"/>
      <color indexed="8"/>
      <name val="Helvetica Neue"/>
      <family val="2"/>
    </font>
    <font>
      <sz val="14"/>
      <color theme="1"/>
      <name val="Calibri"/>
      <family val="2"/>
      <scheme val="minor"/>
    </font>
    <font>
      <b/>
      <i/>
      <sz val="14"/>
      <color rgb="FF00B050"/>
      <name val="Helvetica Neue"/>
      <family val="2"/>
    </font>
    <font>
      <sz val="14"/>
      <color indexed="8"/>
      <name val="Arial"/>
      <family val="2"/>
    </font>
    <font>
      <b/>
      <sz val="14"/>
      <color theme="9"/>
      <name val="Helvetica Neue"/>
      <family val="2"/>
    </font>
    <font>
      <b/>
      <sz val="14"/>
      <color rgb="FFC00000"/>
      <name val="Arial"/>
      <family val="2"/>
    </font>
    <font>
      <b/>
      <sz val="14"/>
      <color rgb="FFC00000"/>
      <name val="Helvetica Neue"/>
      <family val="2"/>
    </font>
    <font>
      <b/>
      <sz val="14"/>
      <color indexed="8"/>
      <name val="Helvetica Neue (Body)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gray0625">
        <bgColor theme="9" tint="0.39994506668294322"/>
      </patternFill>
    </fill>
    <fill>
      <patternFill patternType="gray0625">
        <bgColor theme="9" tint="-0.49998474074526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/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1" tint="0.249977111117893"/>
      </left>
      <right style="thin">
        <color theme="1"/>
      </right>
      <top style="medium">
        <color theme="1" tint="0.249977111117893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 tint="0.249977111117893"/>
      </top>
      <bottom style="thin">
        <color theme="1"/>
      </bottom>
      <diagonal/>
    </border>
    <border>
      <left style="thin">
        <color theme="1"/>
      </left>
      <right style="medium">
        <color theme="1" tint="0.249977111117893"/>
      </right>
      <top style="medium">
        <color theme="1" tint="0.249977111117893"/>
      </top>
      <bottom style="thin">
        <color theme="1"/>
      </bottom>
      <diagonal/>
    </border>
    <border>
      <left style="medium">
        <color theme="1" tint="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 tint="0.249977111117893"/>
      </right>
      <top style="thin">
        <color theme="1"/>
      </top>
      <bottom style="thin">
        <color theme="1"/>
      </bottom>
      <diagonal/>
    </border>
    <border>
      <left style="medium">
        <color theme="1" tint="0.249977111117893"/>
      </left>
      <right style="thin">
        <color theme="1"/>
      </right>
      <top style="thin">
        <color theme="1"/>
      </top>
      <bottom style="medium">
        <color theme="1" tint="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 tint="0.249977111117893"/>
      </bottom>
      <diagonal/>
    </border>
    <border>
      <left style="thin">
        <color theme="1"/>
      </left>
      <right style="medium">
        <color theme="1" tint="0.249977111117893"/>
      </right>
      <top style="thin">
        <color theme="1"/>
      </top>
      <bottom style="medium">
        <color theme="1" tint="0.249977111117893"/>
      </bottom>
      <diagonal/>
    </border>
    <border>
      <left style="thin">
        <color theme="1"/>
      </left>
      <right style="medium">
        <color indexed="64"/>
      </right>
      <top style="medium">
        <color theme="1" tint="0.249977111117893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/>
    <xf numFmtId="14" fontId="0" fillId="0" borderId="13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4" xfId="0" applyBorder="1"/>
    <xf numFmtId="14" fontId="0" fillId="0" borderId="24" xfId="0" applyNumberForma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14" fontId="0" fillId="0" borderId="34" xfId="0" applyNumberForma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36" xfId="0" applyBorder="1" applyAlignment="1">
      <alignment horizontal="center"/>
    </xf>
    <xf numFmtId="14" fontId="0" fillId="0" borderId="37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6" borderId="29" xfId="0" applyFont="1" applyFill="1" applyBorder="1" applyAlignment="1">
      <alignment horizontal="center"/>
    </xf>
    <xf numFmtId="0" fontId="1" fillId="7" borderId="32" xfId="0" applyFont="1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14" fontId="0" fillId="7" borderId="34" xfId="0" applyNumberFormat="1" applyFill="1" applyBorder="1" applyAlignment="1">
      <alignment horizontal="center"/>
    </xf>
    <xf numFmtId="14" fontId="0" fillId="7" borderId="22" xfId="0" applyNumberFormat="1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14" fontId="0" fillId="7" borderId="24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2" xfId="0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14" fontId="0" fillId="7" borderId="37" xfId="0" applyNumberForma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21" xfId="0" applyFill="1" applyBorder="1"/>
    <xf numFmtId="0" fontId="0" fillId="7" borderId="23" xfId="0" applyFill="1" applyBorder="1" applyAlignment="1">
      <alignment horizontal="center"/>
    </xf>
    <xf numFmtId="0" fontId="0" fillId="7" borderId="12" xfId="0" applyFill="1" applyBorder="1"/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20" xfId="0" applyFill="1" applyBorder="1"/>
    <xf numFmtId="0" fontId="0" fillId="7" borderId="14" xfId="0" applyFill="1" applyBorder="1"/>
    <xf numFmtId="14" fontId="0" fillId="7" borderId="13" xfId="0" applyNumberForma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4" fillId="8" borderId="38" xfId="0" applyFont="1" applyFill="1" applyBorder="1"/>
    <xf numFmtId="14" fontId="5" fillId="8" borderId="39" xfId="0" applyNumberFormat="1" applyFont="1" applyFill="1" applyBorder="1" applyAlignment="1">
      <alignment horizontal="center"/>
    </xf>
    <xf numFmtId="14" fontId="5" fillId="8" borderId="40" xfId="0" applyNumberFormat="1" applyFont="1" applyFill="1" applyBorder="1" applyAlignment="1">
      <alignment horizontal="center"/>
    </xf>
    <xf numFmtId="14" fontId="5" fillId="8" borderId="41" xfId="0" applyNumberFormat="1" applyFont="1" applyFill="1" applyBorder="1" applyAlignment="1">
      <alignment horizontal="center"/>
    </xf>
    <xf numFmtId="0" fontId="5" fillId="0" borderId="42" xfId="0" applyFont="1" applyBorder="1" applyAlignment="1">
      <alignment horizontal="left"/>
    </xf>
    <xf numFmtId="0" fontId="5" fillId="0" borderId="42" xfId="0" applyFont="1" applyBorder="1"/>
    <xf numFmtId="0" fontId="5" fillId="0" borderId="43" xfId="0" applyFont="1" applyBorder="1"/>
    <xf numFmtId="0" fontId="5" fillId="0" borderId="44" xfId="0" applyFont="1" applyBorder="1"/>
    <xf numFmtId="0" fontId="0" fillId="7" borderId="45" xfId="0" applyFill="1" applyBorder="1" applyAlignment="1">
      <alignment horizontal="center"/>
    </xf>
    <xf numFmtId="14" fontId="0" fillId="7" borderId="46" xfId="0" applyNumberForma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0" fillId="7" borderId="48" xfId="0" applyFill="1" applyBorder="1" applyAlignment="1">
      <alignment horizontal="center"/>
    </xf>
    <xf numFmtId="14" fontId="0" fillId="7" borderId="49" xfId="0" applyNumberForma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7" borderId="22" xfId="0" applyFill="1" applyBorder="1"/>
    <xf numFmtId="14" fontId="0" fillId="7" borderId="23" xfId="0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0" fontId="1" fillId="0" borderId="57" xfId="0" applyFont="1" applyBorder="1" applyAlignment="1">
      <alignment horizontal="center"/>
    </xf>
    <xf numFmtId="14" fontId="0" fillId="0" borderId="58" xfId="0" applyNumberForma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61" xfId="0" applyNumberForma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0" fillId="0" borderId="62" xfId="0" applyBorder="1" applyAlignment="1">
      <alignment horizontal="center"/>
    </xf>
    <xf numFmtId="14" fontId="0" fillId="0" borderId="62" xfId="0" applyNumberFormat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1" fillId="3" borderId="54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64" xfId="0" applyBorder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66" xfId="0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/>
    <xf numFmtId="0" fontId="0" fillId="7" borderId="72" xfId="0" applyFill="1" applyBorder="1" applyAlignment="1">
      <alignment horizontal="center"/>
    </xf>
    <xf numFmtId="14" fontId="0" fillId="7" borderId="74" xfId="0" applyNumberFormat="1" applyFill="1" applyBorder="1" applyAlignment="1">
      <alignment horizontal="center"/>
    </xf>
    <xf numFmtId="0" fontId="0" fillId="0" borderId="75" xfId="0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0" fillId="0" borderId="78" xfId="0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14" fontId="0" fillId="7" borderId="56" xfId="0" applyNumberFormat="1" applyFill="1" applyBorder="1" applyAlignment="1">
      <alignment horizontal="center"/>
    </xf>
    <xf numFmtId="0" fontId="1" fillId="7" borderId="63" xfId="0" applyFont="1" applyFill="1" applyBorder="1" applyAlignment="1">
      <alignment horizontal="center"/>
    </xf>
    <xf numFmtId="0" fontId="0" fillId="7" borderId="64" xfId="0" applyFill="1" applyBorder="1" applyAlignment="1">
      <alignment horizontal="center"/>
    </xf>
    <xf numFmtId="14" fontId="0" fillId="7" borderId="65" xfId="0" applyNumberFormat="1" applyFill="1" applyBorder="1" applyAlignment="1">
      <alignment horizontal="center"/>
    </xf>
    <xf numFmtId="0" fontId="5" fillId="0" borderId="43" xfId="0" applyFont="1" applyBorder="1" applyAlignment="1">
      <alignment horizontal="left"/>
    </xf>
    <xf numFmtId="14" fontId="5" fillId="0" borderId="39" xfId="0" applyNumberFormat="1" applyFont="1" applyBorder="1" applyAlignment="1">
      <alignment horizontal="center"/>
    </xf>
    <xf numFmtId="0" fontId="5" fillId="0" borderId="44" xfId="0" applyFont="1" applyBorder="1" applyAlignment="1">
      <alignment horizontal="left"/>
    </xf>
    <xf numFmtId="14" fontId="5" fillId="0" borderId="4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81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 wrapText="1"/>
    </xf>
    <xf numFmtId="165" fontId="11" fillId="0" borderId="91" xfId="0" applyNumberFormat="1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top" wrapText="1"/>
    </xf>
    <xf numFmtId="166" fontId="14" fillId="0" borderId="84" xfId="0" applyNumberFormat="1" applyFont="1" applyBorder="1" applyAlignment="1">
      <alignment vertical="top" wrapText="1"/>
    </xf>
    <xf numFmtId="1" fontId="14" fillId="0" borderId="84" xfId="0" applyNumberFormat="1" applyFont="1" applyBorder="1" applyAlignment="1">
      <alignment horizontal="center" vertical="top" wrapText="1"/>
    </xf>
    <xf numFmtId="165" fontId="14" fillId="0" borderId="84" xfId="0" applyNumberFormat="1" applyFont="1" applyBorder="1" applyAlignment="1">
      <alignment vertical="top" wrapText="1"/>
    </xf>
    <xf numFmtId="0" fontId="14" fillId="0" borderId="90" xfId="0" applyFont="1" applyBorder="1" applyAlignment="1">
      <alignment vertical="top" wrapText="1"/>
    </xf>
    <xf numFmtId="165" fontId="14" fillId="0" borderId="91" xfId="0" applyNumberFormat="1" applyFont="1" applyBorder="1" applyAlignment="1">
      <alignment vertical="top" wrapText="1"/>
    </xf>
    <xf numFmtId="166" fontId="14" fillId="0" borderId="80" xfId="0" applyNumberFormat="1" applyFont="1" applyBorder="1" applyAlignment="1">
      <alignment vertical="top" wrapText="1"/>
    </xf>
    <xf numFmtId="1" fontId="14" fillId="0" borderId="80" xfId="0" applyNumberFormat="1" applyFont="1" applyBorder="1" applyAlignment="1">
      <alignment horizontal="center" vertical="top" wrapText="1"/>
    </xf>
    <xf numFmtId="165" fontId="14" fillId="0" borderId="80" xfId="0" applyNumberFormat="1" applyFont="1" applyBorder="1" applyAlignment="1">
      <alignment vertical="top" wrapText="1"/>
    </xf>
    <xf numFmtId="166" fontId="14" fillId="0" borderId="85" xfId="0" applyNumberFormat="1" applyFont="1" applyBorder="1" applyAlignment="1">
      <alignment vertical="top" wrapText="1"/>
    </xf>
    <xf numFmtId="1" fontId="14" fillId="0" borderId="85" xfId="0" applyNumberFormat="1" applyFont="1" applyBorder="1" applyAlignment="1">
      <alignment horizontal="center" vertical="top" wrapText="1"/>
    </xf>
    <xf numFmtId="165" fontId="14" fillId="0" borderId="85" xfId="0" applyNumberFormat="1" applyFont="1" applyBorder="1" applyAlignment="1">
      <alignment vertical="top" wrapText="1"/>
    </xf>
    <xf numFmtId="166" fontId="14" fillId="0" borderId="88" xfId="0" applyNumberFormat="1" applyFont="1" applyBorder="1" applyAlignment="1">
      <alignment vertical="top" wrapText="1"/>
    </xf>
    <xf numFmtId="166" fontId="14" fillId="0" borderId="0" xfId="0" applyNumberFormat="1" applyFont="1" applyAlignment="1">
      <alignment vertical="top" wrapText="1"/>
    </xf>
    <xf numFmtId="0" fontId="12" fillId="0" borderId="79" xfId="0" applyFont="1" applyBorder="1" applyAlignment="1">
      <alignment vertical="top" wrapText="1"/>
    </xf>
    <xf numFmtId="1" fontId="12" fillId="0" borderId="79" xfId="0" applyNumberFormat="1" applyFont="1" applyBorder="1" applyAlignment="1">
      <alignment horizontal="center" vertical="top" wrapText="1"/>
    </xf>
    <xf numFmtId="165" fontId="12" fillId="0" borderId="0" xfId="0" applyNumberFormat="1" applyFont="1" applyAlignment="1">
      <alignment vertical="top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top" wrapText="1"/>
    </xf>
    <xf numFmtId="2" fontId="17" fillId="0" borderId="84" xfId="0" applyNumberFormat="1" applyFont="1" applyBorder="1" applyAlignment="1">
      <alignment vertical="center" wrapText="1"/>
    </xf>
    <xf numFmtId="165" fontId="17" fillId="0" borderId="84" xfId="0" applyNumberFormat="1" applyFont="1" applyBorder="1" applyAlignment="1">
      <alignment vertical="center" wrapText="1"/>
    </xf>
    <xf numFmtId="2" fontId="17" fillId="0" borderId="80" xfId="0" applyNumberFormat="1" applyFont="1" applyBorder="1" applyAlignment="1">
      <alignment vertical="center" wrapText="1"/>
    </xf>
    <xf numFmtId="165" fontId="17" fillId="0" borderId="80" xfId="0" applyNumberFormat="1" applyFont="1" applyBorder="1" applyAlignment="1">
      <alignment vertical="center" wrapText="1"/>
    </xf>
    <xf numFmtId="165" fontId="18" fillId="0" borderId="86" xfId="0" applyNumberFormat="1" applyFont="1" applyBorder="1" applyAlignment="1">
      <alignment vertical="top" wrapText="1"/>
    </xf>
    <xf numFmtId="164" fontId="19" fillId="0" borderId="79" xfId="0" applyNumberFormat="1" applyFont="1" applyBorder="1" applyAlignment="1">
      <alignment vertical="center" wrapText="1"/>
    </xf>
    <xf numFmtId="164" fontId="20" fillId="0" borderId="0" xfId="0" applyNumberFormat="1" applyFont="1" applyAlignment="1">
      <alignment vertical="center" wrapText="1"/>
    </xf>
    <xf numFmtId="0" fontId="14" fillId="0" borderId="91" xfId="0" applyFont="1" applyBorder="1" applyAlignment="1">
      <alignment vertical="top" wrapText="1"/>
    </xf>
    <xf numFmtId="0" fontId="14" fillId="0" borderId="92" xfId="0" applyFont="1" applyBorder="1" applyAlignment="1">
      <alignment vertical="top" wrapText="1"/>
    </xf>
    <xf numFmtId="0" fontId="14" fillId="0" borderId="88" xfId="0" applyFont="1" applyBorder="1" applyAlignment="1">
      <alignment vertical="top" wrapText="1"/>
    </xf>
    <xf numFmtId="0" fontId="14" fillId="0" borderId="93" xfId="0" applyFont="1" applyBorder="1" applyAlignment="1">
      <alignment vertical="top" wrapText="1"/>
    </xf>
    <xf numFmtId="0" fontId="12" fillId="0" borderId="86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166" fontId="14" fillId="0" borderId="94" xfId="0" applyNumberFormat="1" applyFont="1" applyBorder="1" applyAlignment="1">
      <alignment horizontal="center" vertical="center" wrapText="1"/>
    </xf>
    <xf numFmtId="166" fontId="14" fillId="0" borderId="95" xfId="0" applyNumberFormat="1" applyFont="1" applyBorder="1" applyAlignment="1">
      <alignment horizontal="center" vertical="center" wrapText="1"/>
    </xf>
    <xf numFmtId="166" fontId="14" fillId="0" borderId="97" xfId="0" applyNumberFormat="1" applyFont="1" applyBorder="1" applyAlignment="1">
      <alignment horizontal="center" vertical="center" wrapText="1"/>
    </xf>
    <xf numFmtId="165" fontId="17" fillId="0" borderId="85" xfId="0" applyNumberFormat="1" applyFont="1" applyBorder="1" applyAlignment="1">
      <alignment vertical="center" wrapText="1"/>
    </xf>
    <xf numFmtId="165" fontId="11" fillId="0" borderId="92" xfId="0" applyNumberFormat="1" applyFont="1" applyBorder="1" applyAlignment="1">
      <alignment vertical="top" wrapText="1"/>
    </xf>
    <xf numFmtId="0" fontId="14" fillId="0" borderId="87" xfId="0" applyFont="1" applyBorder="1" applyAlignment="1">
      <alignment vertical="top" wrapText="1"/>
    </xf>
    <xf numFmtId="165" fontId="14" fillId="0" borderId="92" xfId="0" applyNumberFormat="1" applyFont="1" applyBorder="1" applyAlignment="1">
      <alignment vertical="top" wrapText="1"/>
    </xf>
    <xf numFmtId="0" fontId="1" fillId="6" borderId="98" xfId="0" applyFont="1" applyFill="1" applyBorder="1" applyAlignment="1">
      <alignment horizontal="center"/>
    </xf>
    <xf numFmtId="0" fontId="1" fillId="4" borderId="99" xfId="0" applyFont="1" applyFill="1" applyBorder="1" applyAlignment="1">
      <alignment horizontal="center"/>
    </xf>
    <xf numFmtId="0" fontId="1" fillId="4" borderId="100" xfId="0" applyFont="1" applyFill="1" applyBorder="1" applyAlignment="1">
      <alignment horizontal="center"/>
    </xf>
    <xf numFmtId="0" fontId="1" fillId="7" borderId="101" xfId="0" applyFont="1" applyFill="1" applyBorder="1" applyAlignment="1">
      <alignment horizontal="center"/>
    </xf>
    <xf numFmtId="14" fontId="0" fillId="7" borderId="102" xfId="0" applyNumberFormat="1" applyFill="1" applyBorder="1" applyAlignment="1">
      <alignment horizontal="center"/>
    </xf>
    <xf numFmtId="0" fontId="1" fillId="7" borderId="103" xfId="0" applyFont="1" applyFill="1" applyBorder="1" applyAlignment="1">
      <alignment horizontal="center"/>
    </xf>
    <xf numFmtId="0" fontId="0" fillId="7" borderId="104" xfId="0" applyFill="1" applyBorder="1" applyAlignment="1">
      <alignment horizontal="center"/>
    </xf>
    <xf numFmtId="14" fontId="0" fillId="7" borderId="105" xfId="0" applyNumberFormat="1" applyFill="1" applyBorder="1" applyAlignment="1">
      <alignment horizontal="center"/>
    </xf>
    <xf numFmtId="0" fontId="1" fillId="4" borderId="106" xfId="0" applyFont="1" applyFill="1" applyBorder="1" applyAlignment="1">
      <alignment horizontal="center"/>
    </xf>
    <xf numFmtId="166" fontId="14" fillId="0" borderId="80" xfId="0" applyNumberFormat="1" applyFont="1" applyBorder="1" applyAlignment="1">
      <alignment horizontal="center" vertical="center" wrapText="1"/>
    </xf>
    <xf numFmtId="165" fontId="11" fillId="0" borderId="80" xfId="0" applyNumberFormat="1" applyFont="1" applyBorder="1" applyAlignment="1">
      <alignment vertical="top" wrapText="1"/>
    </xf>
    <xf numFmtId="0" fontId="14" fillId="0" borderId="80" xfId="0" applyFont="1" applyBorder="1" applyAlignment="1">
      <alignment vertical="top" wrapText="1"/>
    </xf>
    <xf numFmtId="165" fontId="21" fillId="0" borderId="79" xfId="0" applyNumberFormat="1" applyFont="1" applyBorder="1" applyAlignment="1">
      <alignment vertical="top" wrapText="1"/>
    </xf>
    <xf numFmtId="1" fontId="14" fillId="7" borderId="80" xfId="0" applyNumberFormat="1" applyFont="1" applyFill="1" applyBorder="1" applyAlignment="1">
      <alignment horizontal="center" vertical="top" wrapText="1"/>
    </xf>
    <xf numFmtId="165" fontId="14" fillId="7" borderId="80" xfId="0" applyNumberFormat="1" applyFont="1" applyFill="1" applyBorder="1" applyAlignment="1">
      <alignment vertical="top" wrapText="1"/>
    </xf>
    <xf numFmtId="0" fontId="8" fillId="0" borderId="107" xfId="0" applyFont="1" applyBorder="1" applyAlignment="1">
      <alignment horizontal="center" vertical="center" wrapText="1"/>
    </xf>
    <xf numFmtId="0" fontId="8" fillId="0" borderId="8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12" fillId="0" borderId="9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7" fillId="0" borderId="82" xfId="0" applyNumberFormat="1" applyFont="1" applyBorder="1" applyAlignment="1">
      <alignment horizontal="center" vertical="center"/>
    </xf>
    <xf numFmtId="164" fontId="7" fillId="0" borderId="83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21">
    <dxf>
      <font>
        <b/>
        <i val="0"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5" formatCode="_-* #,##0.00\ &quot;€&quot;_-;\-* #,##0.00\ &quot;€&quot;_-;_-* &quot;-&quot;??\ &quot;€&quot;_-;_-@_-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 Light"/>
        <family val="2"/>
        <scheme val="major"/>
      </font>
      <numFmt numFmtId="165" formatCode="_-* #,##0.00\ &quot;€&quot;_-;\-* #,##0.00\ &quot;€&quot;_-;_-* &quot;-&quot;??\ &quot;€&quot;_-;_-@_-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numFmt numFmtId="165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6" formatCode="yyyy\-mm\-dd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5" formatCode="_-* #,##0.00\ &quot;€&quot;_-;\-* #,##0.00\ &quot;€&quot;_-;_-* &quot;-&quot;??\ &quot;€&quot;_-;_-@_-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 Light"/>
        <family val="2"/>
        <scheme val="major"/>
      </font>
      <numFmt numFmtId="165" formatCode="_-* #,##0.00\ &quot;€&quot;_-;\-* #,##0.00\ &quot;€&quot;_-;_-* &quot;-&quot;??\ &quot;€&quot;_-;_-@_-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5" formatCode="_-* #,##0.00\ &quot;€&quot;_-;\-* #,##0.00\ &quot;€&quot;_-;_-* &quot;-&quot;??\ &quot;€&quot;_-;_-@_-"/>
      <fill>
        <patternFill patternType="solid">
          <fgColor indexed="64"/>
          <bgColor rgb="FFFFFF0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" formatCode="0"/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numFmt numFmtId="166" formatCode="yyyy\-mm\-dd;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Helvetica Neue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01A90-F203-2549-9872-0EDC62DC9CD3}" name="Expected_Rasante" displayName="Expected_Rasante" ref="A2:G14" totalsRowShown="0" headerRowDxfId="20" headerRowBorderDxfId="19" tableBorderDxfId="18">
  <autoFilter ref="A2:G14" xr:uid="{FF901A90-F203-2549-9872-0EDC62DC9CD3}"/>
  <tableColumns count="7">
    <tableColumn id="1" xr3:uid="{D1A6D7E2-661D-6C4E-BEF1-60199F1F8B4F}" name="Date" dataDxfId="17"/>
    <tableColumn id="2" xr3:uid="{86A41490-FCC9-0547-8FB8-1390E00E62B4}" name="Quantity" dataDxfId="16"/>
    <tableColumn id="3" xr3:uid="{07957ECF-BFCA-7C4E-95DF-812321DFFEA3}" name="Amount" dataDxfId="15"/>
    <tableColumn id="4" xr3:uid="{439E2925-8FDC-B148-83E6-6E97D9CF4D13}" name="Category" dataDxfId="14"/>
    <tableColumn id="5" xr3:uid="{523599E2-3380-614D-A653-18F2621791BB}" name="Type" dataDxfId="13"/>
    <tableColumn id="6" xr3:uid="{31E19D28-6FF4-E241-A4A2-C89D56D7F7D8}" name="Club" dataDxfId="12"/>
    <tableColumn id="7" xr3:uid="{3650A4F0-63E4-2B4E-A980-8DBE2FD58DD7}" name="Details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D0246-B39E-BD40-AF2F-B55A31EF1ADC}" name="Paid_Rasante" displayName="Paid_Rasante" ref="A19:G27" totalsRowShown="0" headerRowDxfId="10" headerRowBorderDxfId="9" tableBorderDxfId="8">
  <autoFilter ref="A19:G27" xr:uid="{CEBD0246-B39E-BD40-AF2F-B55A31EF1ADC}"/>
  <tableColumns count="7">
    <tableColumn id="1" xr3:uid="{3E9D9E5D-EB2B-B142-AE02-CE1F5A4FF3C4}" name="Date" dataDxfId="7"/>
    <tableColumn id="2" xr3:uid="{667DA644-CF6A-5F45-B2A6-A956BA8804CF}" name="BENEF." dataDxfId="6"/>
    <tableColumn id="3" xr3:uid="{9A91B3A3-CEEE-084D-BC7B-E11ADAEAC37D}" name="Amount" dataDxfId="5"/>
    <tableColumn id="4" xr3:uid="{CA73FF44-21AE-2041-82A8-FF9EDC77011B}" name="Category" dataDxfId="4"/>
    <tableColumn id="5" xr3:uid="{6781F820-5885-A349-9539-6522118DC5F8}" name="Type" dataDxfId="3"/>
    <tableColumn id="6" xr3:uid="{7B06A644-6197-E843-A97B-3DBF0A51966A}" name="Club" dataDxfId="2"/>
    <tableColumn id="7" xr3:uid="{A3780577-88AF-7C42-9949-A497FC4C30D3}" name="Detail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6FBD-A960-0348-95F1-5FF956AB06DC}">
  <dimension ref="A1:G30"/>
  <sheetViews>
    <sheetView tabSelected="1" workbookViewId="0">
      <selection activeCell="E33" sqref="E33"/>
    </sheetView>
  </sheetViews>
  <sheetFormatPr baseColWidth="10" defaultColWidth="12.83203125" defaultRowHeight="19" x14ac:dyDescent="0.2"/>
  <cols>
    <col min="1" max="1" width="13.5" style="157" bestFit="1" customWidth="1"/>
    <col min="2" max="2" width="42.33203125" style="157" bestFit="1" customWidth="1"/>
    <col min="3" max="3" width="13.5" style="157" bestFit="1" customWidth="1"/>
    <col min="4" max="4" width="13.6640625" style="158" customWidth="1"/>
    <col min="5" max="5" width="11.6640625" style="157" bestFit="1" customWidth="1"/>
    <col min="6" max="6" width="17" style="176" bestFit="1" customWidth="1"/>
    <col min="7" max="7" width="14" style="157" bestFit="1" customWidth="1"/>
    <col min="8" max="8" width="9" style="157" bestFit="1" customWidth="1"/>
    <col min="9" max="11" width="12.83203125" style="157"/>
    <col min="12" max="12" width="16.33203125" style="157" customWidth="1"/>
    <col min="13" max="16384" width="12.83203125" style="157"/>
  </cols>
  <sheetData>
    <row r="1" spans="1:7" ht="19" customHeight="1" x14ac:dyDescent="0.2">
      <c r="A1" s="219" t="s">
        <v>42</v>
      </c>
      <c r="B1" s="220"/>
      <c r="C1" s="220"/>
      <c r="D1" s="220"/>
      <c r="E1" s="220"/>
      <c r="F1" s="220"/>
      <c r="G1" s="220"/>
    </row>
    <row r="2" spans="1:7" ht="20" thickBot="1" x14ac:dyDescent="0.25">
      <c r="A2" s="188" t="s">
        <v>0</v>
      </c>
      <c r="B2" s="188" t="s">
        <v>43</v>
      </c>
      <c r="C2" s="188" t="s">
        <v>29</v>
      </c>
      <c r="D2" s="188" t="s">
        <v>47</v>
      </c>
      <c r="E2" s="188" t="s">
        <v>44</v>
      </c>
      <c r="F2" s="188" t="s">
        <v>46</v>
      </c>
      <c r="G2" s="189" t="s">
        <v>36</v>
      </c>
    </row>
    <row r="3" spans="1:7" ht="20" x14ac:dyDescent="0.2">
      <c r="A3" s="159">
        <v>45900</v>
      </c>
      <c r="B3" s="160">
        <f>Season!C5</f>
        <v>9</v>
      </c>
      <c r="C3" s="161">
        <f>Season!C6</f>
        <v>540</v>
      </c>
      <c r="D3" s="156" t="s">
        <v>31</v>
      </c>
      <c r="E3" s="162" t="s">
        <v>45</v>
      </c>
      <c r="F3" s="163" t="s">
        <v>56</v>
      </c>
      <c r="G3" s="184"/>
    </row>
    <row r="4" spans="1:7" ht="20" x14ac:dyDescent="0.2">
      <c r="A4" s="164">
        <v>45930</v>
      </c>
      <c r="B4" s="165">
        <f>Season!L5</f>
        <v>14</v>
      </c>
      <c r="C4" s="166">
        <f>Season!L6</f>
        <v>840</v>
      </c>
      <c r="D4" s="156" t="s">
        <v>31</v>
      </c>
      <c r="E4" s="162" t="s">
        <v>45</v>
      </c>
      <c r="F4" s="163" t="s">
        <v>56</v>
      </c>
      <c r="G4" s="186"/>
    </row>
    <row r="5" spans="1:7" ht="20" x14ac:dyDescent="0.2">
      <c r="A5" s="167">
        <v>45961</v>
      </c>
      <c r="B5" s="168">
        <f>Season!U5</f>
        <v>6</v>
      </c>
      <c r="C5" s="166">
        <f>Season!U6</f>
        <v>360</v>
      </c>
      <c r="D5" s="156" t="s">
        <v>31</v>
      </c>
      <c r="E5" s="162" t="s">
        <v>45</v>
      </c>
      <c r="F5" s="163" t="s">
        <v>56</v>
      </c>
      <c r="G5" s="184"/>
    </row>
    <row r="6" spans="1:7" ht="20" x14ac:dyDescent="0.2">
      <c r="A6" s="164">
        <v>45991</v>
      </c>
      <c r="B6" s="165">
        <f>Season!AD5</f>
        <v>7</v>
      </c>
      <c r="C6" s="166">
        <f>Season!AD6</f>
        <v>420</v>
      </c>
      <c r="D6" s="156" t="s">
        <v>31</v>
      </c>
      <c r="E6" s="162" t="s">
        <v>45</v>
      </c>
      <c r="F6" s="163" t="s">
        <v>56</v>
      </c>
      <c r="G6" s="186"/>
    </row>
    <row r="7" spans="1:7" ht="20" x14ac:dyDescent="0.2">
      <c r="A7" s="164">
        <v>46022</v>
      </c>
      <c r="B7" s="165">
        <v>0</v>
      </c>
      <c r="C7" s="166">
        <v>0</v>
      </c>
      <c r="D7" s="156" t="s">
        <v>31</v>
      </c>
      <c r="E7" s="162" t="s">
        <v>45</v>
      </c>
      <c r="F7" s="163" t="s">
        <v>56</v>
      </c>
      <c r="G7" s="186"/>
    </row>
    <row r="8" spans="1:7" ht="20" x14ac:dyDescent="0.2">
      <c r="A8" s="164">
        <v>46053</v>
      </c>
      <c r="B8" s="165">
        <v>0</v>
      </c>
      <c r="C8" s="166">
        <v>0</v>
      </c>
      <c r="D8" s="156" t="s">
        <v>31</v>
      </c>
      <c r="E8" s="162" t="s">
        <v>45</v>
      </c>
      <c r="F8" s="163" t="s">
        <v>56</v>
      </c>
      <c r="G8" s="186"/>
    </row>
    <row r="9" spans="1:7" ht="20" x14ac:dyDescent="0.2">
      <c r="A9" s="164">
        <v>46081</v>
      </c>
      <c r="B9" s="165">
        <f>Season!C24</f>
        <v>6</v>
      </c>
      <c r="C9" s="166">
        <f>Season!C25</f>
        <v>360</v>
      </c>
      <c r="D9" s="156" t="s">
        <v>31</v>
      </c>
      <c r="E9" s="162" t="s">
        <v>45</v>
      </c>
      <c r="F9" s="163" t="s">
        <v>56</v>
      </c>
      <c r="G9" s="186"/>
    </row>
    <row r="10" spans="1:7" ht="20" x14ac:dyDescent="0.2">
      <c r="A10" s="167">
        <v>46112</v>
      </c>
      <c r="B10" s="168">
        <f>Season!L24</f>
        <v>14</v>
      </c>
      <c r="C10" s="169">
        <f>Season!L25</f>
        <v>840</v>
      </c>
      <c r="D10" s="156" t="s">
        <v>31</v>
      </c>
      <c r="E10" s="162" t="s">
        <v>45</v>
      </c>
      <c r="F10" s="163" t="s">
        <v>56</v>
      </c>
      <c r="G10" s="186"/>
    </row>
    <row r="11" spans="1:7" ht="20" x14ac:dyDescent="0.2">
      <c r="A11" s="170">
        <v>46142</v>
      </c>
      <c r="B11" s="210">
        <f>Season!U24</f>
        <v>6</v>
      </c>
      <c r="C11" s="211">
        <f>Season!U25</f>
        <v>360</v>
      </c>
      <c r="D11" s="156" t="s">
        <v>31</v>
      </c>
      <c r="E11" s="162" t="s">
        <v>50</v>
      </c>
      <c r="F11" s="163" t="s">
        <v>56</v>
      </c>
      <c r="G11" s="186"/>
    </row>
    <row r="12" spans="1:7" ht="20" x14ac:dyDescent="0.2">
      <c r="A12" s="170">
        <v>46173</v>
      </c>
      <c r="B12" s="210">
        <f>Season!AD24</f>
        <v>6</v>
      </c>
      <c r="C12" s="211">
        <f>Season!AD25</f>
        <v>360</v>
      </c>
      <c r="D12" s="156" t="s">
        <v>31</v>
      </c>
      <c r="E12" s="162" t="s">
        <v>50</v>
      </c>
      <c r="F12" s="163" t="s">
        <v>56</v>
      </c>
      <c r="G12" s="186"/>
    </row>
    <row r="13" spans="1:7" ht="20" x14ac:dyDescent="0.2">
      <c r="A13" s="170">
        <v>46203</v>
      </c>
      <c r="B13" s="210">
        <v>0</v>
      </c>
      <c r="C13" s="211">
        <v>0</v>
      </c>
      <c r="D13" s="156" t="s">
        <v>31</v>
      </c>
      <c r="E13" s="162" t="s">
        <v>50</v>
      </c>
      <c r="F13" s="163" t="s">
        <v>56</v>
      </c>
      <c r="G13" s="186"/>
    </row>
    <row r="14" spans="1:7" ht="21" thickBot="1" x14ac:dyDescent="0.25">
      <c r="A14" s="171">
        <v>46234</v>
      </c>
      <c r="B14" s="210">
        <f>Season!AD26</f>
        <v>0</v>
      </c>
      <c r="C14" s="211">
        <f>Season!AD27</f>
        <v>0</v>
      </c>
      <c r="D14" s="156" t="s">
        <v>31</v>
      </c>
      <c r="E14" s="162" t="s">
        <v>50</v>
      </c>
      <c r="F14" s="163" t="s">
        <v>56</v>
      </c>
      <c r="G14" s="187"/>
    </row>
    <row r="15" spans="1:7" ht="20" thickBot="1" x14ac:dyDescent="0.25">
      <c r="A15" s="172" t="s">
        <v>25</v>
      </c>
      <c r="B15" s="173">
        <f>SUM(B3:B14)</f>
        <v>68</v>
      </c>
      <c r="C15" s="209">
        <f>SUMIF(E3:E14,"Expected",C3:C14)</f>
        <v>3360</v>
      </c>
      <c r="D15" s="174"/>
      <c r="F15" s="158"/>
    </row>
    <row r="16" spans="1:7" x14ac:dyDescent="0.2">
      <c r="A16" s="175"/>
      <c r="B16" s="175"/>
      <c r="C16" s="175"/>
      <c r="D16" s="174"/>
    </row>
    <row r="17" spans="1:7" ht="20" thickBot="1" x14ac:dyDescent="0.25">
      <c r="A17" s="175"/>
      <c r="B17" s="175"/>
      <c r="C17" s="175"/>
    </row>
    <row r="18" spans="1:7" thickBot="1" x14ac:dyDescent="0.25">
      <c r="A18" s="216" t="s">
        <v>48</v>
      </c>
      <c r="B18" s="217"/>
      <c r="C18" s="217"/>
      <c r="D18" s="217"/>
      <c r="E18" s="217"/>
      <c r="F18" s="217"/>
      <c r="G18" s="218"/>
    </row>
    <row r="19" spans="1:7" ht="20" thickBot="1" x14ac:dyDescent="0.25">
      <c r="A19" s="212" t="s">
        <v>0</v>
      </c>
      <c r="B19" s="213" t="s">
        <v>28</v>
      </c>
      <c r="C19" s="213" t="s">
        <v>29</v>
      </c>
      <c r="D19" s="188" t="s">
        <v>47</v>
      </c>
      <c r="E19" s="155" t="s">
        <v>44</v>
      </c>
      <c r="F19" s="188" t="s">
        <v>46</v>
      </c>
      <c r="G19" s="189" t="s">
        <v>36</v>
      </c>
    </row>
    <row r="20" spans="1:7" ht="20" x14ac:dyDescent="0.2">
      <c r="A20" s="190">
        <v>45905</v>
      </c>
      <c r="B20" s="177" t="s">
        <v>58</v>
      </c>
      <c r="C20" s="178">
        <v>540</v>
      </c>
      <c r="D20" s="156" t="s">
        <v>31</v>
      </c>
      <c r="E20" s="162" t="s">
        <v>48</v>
      </c>
      <c r="F20" s="163" t="s">
        <v>56</v>
      </c>
      <c r="G20" s="184" t="s">
        <v>39</v>
      </c>
    </row>
    <row r="21" spans="1:7" ht="20" x14ac:dyDescent="0.2">
      <c r="A21" s="191">
        <v>45933</v>
      </c>
      <c r="B21" s="177" t="s">
        <v>58</v>
      </c>
      <c r="C21" s="180">
        <v>840</v>
      </c>
      <c r="D21" s="156" t="s">
        <v>31</v>
      </c>
      <c r="E21" s="162" t="s">
        <v>48</v>
      </c>
      <c r="F21" s="163" t="s">
        <v>56</v>
      </c>
      <c r="G21" s="184" t="s">
        <v>40</v>
      </c>
    </row>
    <row r="22" spans="1:7" ht="20" x14ac:dyDescent="0.2">
      <c r="A22" s="191">
        <v>45966</v>
      </c>
      <c r="B22" s="177" t="s">
        <v>58</v>
      </c>
      <c r="C22" s="180">
        <v>360</v>
      </c>
      <c r="D22" s="156" t="s">
        <v>31</v>
      </c>
      <c r="E22" s="162" t="s">
        <v>48</v>
      </c>
      <c r="F22" s="163" t="s">
        <v>56</v>
      </c>
      <c r="G22" s="184" t="s">
        <v>41</v>
      </c>
    </row>
    <row r="23" spans="1:7" ht="20" x14ac:dyDescent="0.2">
      <c r="A23" s="191">
        <v>45992</v>
      </c>
      <c r="B23" s="177" t="s">
        <v>58</v>
      </c>
      <c r="C23" s="180">
        <v>420</v>
      </c>
      <c r="D23" s="156" t="s">
        <v>31</v>
      </c>
      <c r="E23" s="162" t="s">
        <v>48</v>
      </c>
      <c r="F23" s="163" t="s">
        <v>56</v>
      </c>
      <c r="G23" s="184" t="s">
        <v>37</v>
      </c>
    </row>
    <row r="24" spans="1:7" ht="20" x14ac:dyDescent="0.2">
      <c r="A24" s="192">
        <v>46083</v>
      </c>
      <c r="B24" s="177" t="s">
        <v>58</v>
      </c>
      <c r="C24" s="193">
        <v>360</v>
      </c>
      <c r="D24" s="194" t="s">
        <v>31</v>
      </c>
      <c r="E24" s="195" t="s">
        <v>48</v>
      </c>
      <c r="F24" s="196" t="s">
        <v>56</v>
      </c>
      <c r="G24" s="185" t="s">
        <v>38</v>
      </c>
    </row>
    <row r="25" spans="1:7" ht="20" x14ac:dyDescent="0.2">
      <c r="A25" s="206">
        <v>46116</v>
      </c>
      <c r="B25" s="177" t="s">
        <v>58</v>
      </c>
      <c r="C25" s="180">
        <v>840</v>
      </c>
      <c r="D25" s="207" t="s">
        <v>31</v>
      </c>
      <c r="E25" s="208" t="s">
        <v>48</v>
      </c>
      <c r="F25" s="166" t="s">
        <v>56</v>
      </c>
      <c r="G25" s="208" t="s">
        <v>49</v>
      </c>
    </row>
    <row r="26" spans="1:7" x14ac:dyDescent="0.2">
      <c r="A26" s="206"/>
      <c r="B26" s="179"/>
      <c r="C26" s="180"/>
      <c r="D26" s="207"/>
      <c r="E26" s="208"/>
      <c r="F26" s="166"/>
      <c r="G26" s="208"/>
    </row>
    <row r="27" spans="1:7" x14ac:dyDescent="0.2">
      <c r="A27" s="206"/>
      <c r="B27" s="179"/>
      <c r="C27" s="180"/>
      <c r="D27" s="207"/>
      <c r="E27" s="208"/>
      <c r="F27" s="166"/>
      <c r="G27" s="208"/>
    </row>
    <row r="28" spans="1:7" ht="20" thickBot="1" x14ac:dyDescent="0.25">
      <c r="A28" s="175"/>
      <c r="B28" s="175"/>
      <c r="C28" s="181">
        <f>SUM(C20:C26)</f>
        <v>3360</v>
      </c>
      <c r="F28" s="157"/>
      <c r="G28" s="176"/>
    </row>
    <row r="29" spans="1:7" ht="20" thickBot="1" x14ac:dyDescent="0.25">
      <c r="A29" s="175"/>
      <c r="B29" s="175"/>
      <c r="C29" s="175"/>
      <c r="D29" s="183"/>
    </row>
    <row r="30" spans="1:7" ht="20" thickBot="1" x14ac:dyDescent="0.25">
      <c r="A30" s="214" t="s">
        <v>30</v>
      </c>
      <c r="B30" s="215"/>
      <c r="C30" s="182">
        <f>C15-C28</f>
        <v>0</v>
      </c>
    </row>
  </sheetData>
  <mergeCells count="3">
    <mergeCell ref="A30:B30"/>
    <mergeCell ref="A18:G18"/>
    <mergeCell ref="A1:G1"/>
  </mergeCells>
  <phoneticPr fontId="10" type="noConversion"/>
  <conditionalFormatting sqref="B3:B14">
    <cfRule type="cellIs" dxfId="0" priority="1" operator="equal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82F5-F406-694A-989F-4C63C8B3CF05}">
  <dimension ref="A1:AI45"/>
  <sheetViews>
    <sheetView zoomScaleNormal="100" workbookViewId="0">
      <selection activeCell="O13" sqref="O13"/>
    </sheetView>
  </sheetViews>
  <sheetFormatPr baseColWidth="10" defaultRowHeight="16" x14ac:dyDescent="0.2"/>
  <cols>
    <col min="1" max="1" width="3.1640625" style="2" bestFit="1" customWidth="1"/>
    <col min="2" max="2" width="17.83203125" style="1" bestFit="1" customWidth="1"/>
    <col min="3" max="3" width="12.5" style="1" customWidth="1"/>
    <col min="4" max="4" width="3.1640625" style="1" customWidth="1"/>
    <col min="5" max="5" width="3.1640625" style="2" bestFit="1" customWidth="1"/>
    <col min="6" max="6" width="17.6640625" style="1" customWidth="1"/>
    <col min="7" max="7" width="10.83203125" style="1"/>
    <col min="8" max="9" width="2.6640625" style="1" customWidth="1"/>
    <col min="10" max="10" width="3.1640625" style="2" bestFit="1" customWidth="1"/>
    <col min="11" max="11" width="17.83203125" style="1" bestFit="1" customWidth="1"/>
    <col min="12" max="12" width="10.83203125" style="1"/>
    <col min="13" max="13" width="2.5" style="1" customWidth="1"/>
    <col min="14" max="14" width="3.1640625" style="2" bestFit="1" customWidth="1"/>
    <col min="15" max="15" width="22.5" style="1" bestFit="1" customWidth="1"/>
    <col min="16" max="16" width="17.1640625" style="1" bestFit="1" customWidth="1"/>
    <col min="17" max="18" width="2.6640625" style="1" customWidth="1"/>
    <col min="19" max="19" width="3.1640625" style="2" bestFit="1" customWidth="1"/>
    <col min="20" max="20" width="18.1640625" style="1" bestFit="1" customWidth="1"/>
    <col min="21" max="21" width="12.1640625" style="1" bestFit="1" customWidth="1"/>
    <col min="22" max="22" width="2.5" style="1" customWidth="1"/>
    <col min="23" max="23" width="3.1640625" style="2" bestFit="1" customWidth="1"/>
    <col min="24" max="24" width="19.33203125" style="1" bestFit="1" customWidth="1"/>
    <col min="25" max="25" width="12.1640625" style="1" bestFit="1" customWidth="1"/>
    <col min="26" max="27" width="2.6640625" style="1" customWidth="1"/>
    <col min="28" max="28" width="3.1640625" style="2" bestFit="1" customWidth="1"/>
    <col min="29" max="29" width="18.33203125" style="1" bestFit="1" customWidth="1"/>
    <col min="30" max="30" width="11.5" style="1" bestFit="1" customWidth="1"/>
    <col min="31" max="31" width="2.5" style="1" customWidth="1"/>
    <col min="32" max="32" width="3.1640625" style="2" bestFit="1" customWidth="1"/>
    <col min="33" max="33" width="18.5" style="1" customWidth="1"/>
    <col min="34" max="34" width="11.5" style="1" customWidth="1"/>
    <col min="35" max="35" width="3.5" style="1" customWidth="1"/>
    <col min="36" max="16384" width="10.83203125" style="1"/>
  </cols>
  <sheetData>
    <row r="1" spans="1:35" ht="32" thickBot="1" x14ac:dyDescent="0.4">
      <c r="A1" s="223">
        <v>2025</v>
      </c>
      <c r="B1" s="224"/>
      <c r="C1" s="224"/>
      <c r="D1" s="224"/>
      <c r="E1" s="224"/>
      <c r="F1" s="224"/>
      <c r="G1" s="224"/>
      <c r="H1" s="224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6"/>
    </row>
    <row r="2" spans="1:35" ht="17" thickBot="1" x14ac:dyDescent="0.25">
      <c r="A2" s="6"/>
      <c r="B2" s="31"/>
      <c r="C2" s="31"/>
      <c r="D2" s="7"/>
      <c r="E2" s="8"/>
      <c r="F2" s="7"/>
      <c r="G2" s="7"/>
      <c r="H2" s="102"/>
      <c r="I2" s="127"/>
      <c r="J2" s="128"/>
      <c r="K2" s="129"/>
      <c r="L2" s="129"/>
      <c r="M2" s="130"/>
      <c r="N2" s="128"/>
      <c r="O2" s="130"/>
      <c r="P2" s="130"/>
      <c r="Q2" s="131"/>
      <c r="R2" s="37"/>
      <c r="S2" s="8"/>
      <c r="T2" s="31"/>
      <c r="U2" s="31"/>
      <c r="V2" s="7"/>
      <c r="W2" s="8"/>
      <c r="X2" s="7"/>
      <c r="Y2" s="7"/>
      <c r="Z2" s="9"/>
      <c r="AA2" s="34"/>
      <c r="AB2" s="8"/>
      <c r="AC2" s="31"/>
      <c r="AD2" s="31"/>
      <c r="AE2" s="7"/>
      <c r="AF2" s="8"/>
      <c r="AG2" s="7"/>
      <c r="AH2" s="7"/>
      <c r="AI2" s="9"/>
    </row>
    <row r="3" spans="1:35" ht="20" thickBot="1" x14ac:dyDescent="0.3">
      <c r="A3" s="29"/>
      <c r="B3" s="229" t="s">
        <v>4</v>
      </c>
      <c r="C3" s="230"/>
      <c r="D3" s="21"/>
      <c r="E3" s="12"/>
      <c r="F3" s="11"/>
      <c r="G3" s="11"/>
      <c r="H3" s="103"/>
      <c r="I3" s="132"/>
      <c r="J3" s="40"/>
      <c r="K3" s="229" t="s">
        <v>5</v>
      </c>
      <c r="L3" s="230"/>
      <c r="M3" s="21"/>
      <c r="N3" s="12"/>
      <c r="O3" s="11"/>
      <c r="P3" s="11"/>
      <c r="Q3" s="133"/>
      <c r="R3" s="21"/>
      <c r="S3" s="40"/>
      <c r="T3" s="229" t="s">
        <v>6</v>
      </c>
      <c r="U3" s="230"/>
      <c r="V3" s="21"/>
      <c r="W3" s="12"/>
      <c r="X3" s="11"/>
      <c r="Y3" s="11"/>
      <c r="Z3" s="13"/>
      <c r="AA3" s="35"/>
      <c r="AB3" s="40"/>
      <c r="AC3" s="229" t="s">
        <v>7</v>
      </c>
      <c r="AD3" s="230"/>
      <c r="AE3" s="21"/>
      <c r="AF3" s="12"/>
      <c r="AG3" s="11"/>
      <c r="AH3" s="11"/>
      <c r="AI3" s="13"/>
    </row>
    <row r="4" spans="1:35" ht="17" thickBot="1" x14ac:dyDescent="0.25">
      <c r="A4" s="29"/>
      <c r="B4" s="51" t="s">
        <v>1</v>
      </c>
      <c r="C4" s="52">
        <v>60</v>
      </c>
      <c r="D4" s="30"/>
      <c r="E4" s="12"/>
      <c r="F4" s="11"/>
      <c r="G4" s="11"/>
      <c r="H4" s="103"/>
      <c r="I4" s="132"/>
      <c r="J4" s="40"/>
      <c r="K4" s="51" t="s">
        <v>1</v>
      </c>
      <c r="L4" s="52">
        <v>60</v>
      </c>
      <c r="M4" s="30"/>
      <c r="N4" s="12"/>
      <c r="O4" s="11"/>
      <c r="P4" s="11"/>
      <c r="Q4" s="133"/>
      <c r="R4" s="21"/>
      <c r="S4" s="40"/>
      <c r="T4" s="51" t="s">
        <v>1</v>
      </c>
      <c r="U4" s="52">
        <v>60</v>
      </c>
      <c r="V4" s="30"/>
      <c r="W4" s="12"/>
      <c r="X4" s="11"/>
      <c r="Y4" s="11"/>
      <c r="Z4" s="13"/>
      <c r="AA4" s="35"/>
      <c r="AB4" s="40"/>
      <c r="AC4" s="51" t="s">
        <v>1</v>
      </c>
      <c r="AD4" s="52">
        <v>60</v>
      </c>
      <c r="AE4" s="30"/>
      <c r="AF4" s="12"/>
      <c r="AG4" s="11"/>
      <c r="AH4" s="11"/>
      <c r="AI4" s="13"/>
    </row>
    <row r="5" spans="1:35" ht="17" thickBot="1" x14ac:dyDescent="0.25">
      <c r="A5" s="29"/>
      <c r="B5" s="51" t="s">
        <v>2</v>
      </c>
      <c r="C5" s="53">
        <f>COUNTA(B10:B17,F10:F17)</f>
        <v>9</v>
      </c>
      <c r="D5" s="21"/>
      <c r="E5" s="12"/>
      <c r="F5" s="11"/>
      <c r="G5" s="11"/>
      <c r="H5" s="103"/>
      <c r="I5" s="132"/>
      <c r="J5" s="40"/>
      <c r="K5" s="51" t="s">
        <v>2</v>
      </c>
      <c r="L5" s="53">
        <f>COUNTA(K10:K17,O10:O17)</f>
        <v>14</v>
      </c>
      <c r="M5" s="21"/>
      <c r="N5" s="12"/>
      <c r="O5" s="11"/>
      <c r="P5" s="11"/>
      <c r="Q5" s="133"/>
      <c r="R5" s="21"/>
      <c r="S5" s="40"/>
      <c r="T5" s="51" t="s">
        <v>2</v>
      </c>
      <c r="U5" s="53">
        <f>COUNTA(T10:T16,X10:X16)</f>
        <v>6</v>
      </c>
      <c r="V5" s="21"/>
      <c r="W5" s="12"/>
      <c r="X5" s="11"/>
      <c r="Y5" s="11"/>
      <c r="Z5" s="13"/>
      <c r="AA5" s="35"/>
      <c r="AB5" s="40"/>
      <c r="AC5" s="51" t="s">
        <v>2</v>
      </c>
      <c r="AD5" s="53">
        <f>COUNTA(AC10:AC13,AG10:AG12)</f>
        <v>7</v>
      </c>
      <c r="AE5" s="21"/>
      <c r="AF5" s="12"/>
      <c r="AG5" s="11"/>
      <c r="AH5" s="11"/>
      <c r="AI5" s="13"/>
    </row>
    <row r="6" spans="1:35" ht="17" thickBot="1" x14ac:dyDescent="0.25">
      <c r="A6" s="29"/>
      <c r="B6" s="54" t="s">
        <v>3</v>
      </c>
      <c r="C6" s="55">
        <f>C4*C5</f>
        <v>540</v>
      </c>
      <c r="D6" s="30"/>
      <c r="E6" s="12"/>
      <c r="F6" s="11"/>
      <c r="G6" s="11"/>
      <c r="H6" s="103"/>
      <c r="I6" s="132"/>
      <c r="J6" s="40"/>
      <c r="K6" s="54" t="s">
        <v>3</v>
      </c>
      <c r="L6" s="55">
        <f>L4*L5</f>
        <v>840</v>
      </c>
      <c r="M6" s="30"/>
      <c r="N6" s="12"/>
      <c r="O6" s="11"/>
      <c r="P6" s="11"/>
      <c r="Q6" s="133"/>
      <c r="R6" s="21"/>
      <c r="S6" s="40"/>
      <c r="T6" s="54" t="s">
        <v>3</v>
      </c>
      <c r="U6" s="55">
        <f>U4*U5</f>
        <v>360</v>
      </c>
      <c r="V6" s="30"/>
      <c r="W6" s="12"/>
      <c r="X6" s="11"/>
      <c r="Y6" s="11"/>
      <c r="Z6" s="13"/>
      <c r="AA6" s="35"/>
      <c r="AB6" s="40"/>
      <c r="AC6" s="54" t="s">
        <v>3</v>
      </c>
      <c r="AD6" s="55">
        <f>AD4*AD5</f>
        <v>420</v>
      </c>
      <c r="AE6" s="30"/>
      <c r="AF6" s="12"/>
      <c r="AG6" s="11"/>
      <c r="AH6" s="11"/>
      <c r="AI6" s="13"/>
    </row>
    <row r="7" spans="1:35" ht="17" thickBot="1" x14ac:dyDescent="0.25">
      <c r="A7" s="10"/>
      <c r="B7" s="32"/>
      <c r="C7" s="33"/>
      <c r="D7" s="14"/>
      <c r="E7" s="12"/>
      <c r="F7" s="11"/>
      <c r="G7" s="11"/>
      <c r="H7" s="104"/>
      <c r="I7" s="132"/>
      <c r="J7" s="12"/>
      <c r="K7" s="32"/>
      <c r="L7" s="33"/>
      <c r="M7" s="14"/>
      <c r="N7" s="12"/>
      <c r="O7" s="11"/>
      <c r="P7" s="11"/>
      <c r="Q7" s="133"/>
      <c r="R7" s="21"/>
      <c r="S7" s="12"/>
      <c r="T7" s="32"/>
      <c r="U7" s="33"/>
      <c r="V7" s="14"/>
      <c r="W7" s="12"/>
      <c r="X7" s="11"/>
      <c r="Y7" s="11"/>
      <c r="Z7" s="13"/>
      <c r="AA7" s="35"/>
      <c r="AB7" s="12"/>
      <c r="AC7" s="32"/>
      <c r="AD7" s="33"/>
      <c r="AE7" s="14"/>
      <c r="AF7" s="12"/>
      <c r="AG7" s="11"/>
      <c r="AH7" s="11"/>
      <c r="AI7" s="13"/>
    </row>
    <row r="8" spans="1:35" ht="17" thickBot="1" x14ac:dyDescent="0.25">
      <c r="A8" s="22"/>
      <c r="B8" s="23"/>
      <c r="C8" s="23"/>
      <c r="D8" s="11"/>
      <c r="E8" s="28"/>
      <c r="F8" s="23"/>
      <c r="G8" s="23"/>
      <c r="H8" s="104"/>
      <c r="I8" s="132"/>
      <c r="J8" s="28"/>
      <c r="K8" s="23"/>
      <c r="L8" s="23"/>
      <c r="M8" s="11"/>
      <c r="N8" s="28"/>
      <c r="O8" s="23"/>
      <c r="P8" s="23"/>
      <c r="Q8" s="133"/>
      <c r="R8" s="21"/>
      <c r="S8" s="28"/>
      <c r="T8" s="23"/>
      <c r="U8" s="23"/>
      <c r="V8" s="11"/>
      <c r="W8" s="28"/>
      <c r="X8" s="23"/>
      <c r="Y8" s="23"/>
      <c r="Z8" s="13"/>
      <c r="AA8" s="35"/>
      <c r="AB8" s="28"/>
      <c r="AC8" s="23"/>
      <c r="AD8" s="23"/>
      <c r="AE8" s="11"/>
      <c r="AF8" s="28"/>
      <c r="AG8" s="23"/>
      <c r="AH8" s="23"/>
      <c r="AI8" s="13"/>
    </row>
    <row r="9" spans="1:35" ht="17" thickBot="1" x14ac:dyDescent="0.25">
      <c r="A9" s="60"/>
      <c r="B9" s="43" t="s">
        <v>12</v>
      </c>
      <c r="C9" s="44" t="s">
        <v>0</v>
      </c>
      <c r="D9" s="24"/>
      <c r="E9" s="60"/>
      <c r="F9" s="56" t="s">
        <v>13</v>
      </c>
      <c r="G9" s="57" t="s">
        <v>0</v>
      </c>
      <c r="H9" s="24"/>
      <c r="I9" s="134"/>
      <c r="J9" s="109"/>
      <c r="K9" s="110" t="s">
        <v>12</v>
      </c>
      <c r="L9" s="111" t="s">
        <v>0</v>
      </c>
      <c r="M9" s="24"/>
      <c r="N9" s="109"/>
      <c r="O9" s="122" t="s">
        <v>13</v>
      </c>
      <c r="P9" s="123" t="s">
        <v>0</v>
      </c>
      <c r="Q9" s="135"/>
      <c r="R9" s="25"/>
      <c r="S9" s="109"/>
      <c r="T9" s="110" t="s">
        <v>57</v>
      </c>
      <c r="U9" s="111" t="s">
        <v>0</v>
      </c>
      <c r="V9" s="24"/>
      <c r="W9" s="109"/>
      <c r="X9" s="122" t="s">
        <v>13</v>
      </c>
      <c r="Y9" s="123" t="s">
        <v>0</v>
      </c>
      <c r="Z9"/>
      <c r="AA9" s="41"/>
      <c r="AB9" s="60"/>
      <c r="AC9" s="43" t="s">
        <v>57</v>
      </c>
      <c r="AD9" s="44" t="s">
        <v>0</v>
      </c>
      <c r="AE9" s="24"/>
      <c r="AF9" s="60"/>
      <c r="AG9" s="56" t="s">
        <v>13</v>
      </c>
      <c r="AH9" s="57" t="s">
        <v>0</v>
      </c>
      <c r="AI9" s="42"/>
    </row>
    <row r="10" spans="1:35" s="69" customFormat="1" ht="17" thickBot="1" x14ac:dyDescent="0.25">
      <c r="A10" s="62">
        <v>1</v>
      </c>
      <c r="B10" s="63" t="s">
        <v>14</v>
      </c>
      <c r="C10" s="64">
        <v>45879</v>
      </c>
      <c r="D10" s="65"/>
      <c r="E10" s="62">
        <v>1</v>
      </c>
      <c r="F10" s="63" t="s">
        <v>61</v>
      </c>
      <c r="G10" s="64">
        <v>45876</v>
      </c>
      <c r="H10" s="105"/>
      <c r="I10" s="136"/>
      <c r="J10" s="112">
        <v>1</v>
      </c>
      <c r="K10" s="1" t="s">
        <v>16</v>
      </c>
      <c r="L10" s="113">
        <v>45903</v>
      </c>
      <c r="M10" s="100"/>
      <c r="N10" s="112">
        <v>1</v>
      </c>
      <c r="O10" s="46" t="s">
        <v>94</v>
      </c>
      <c r="P10" s="113">
        <v>45901</v>
      </c>
      <c r="Q10" s="137"/>
      <c r="R10" s="70"/>
      <c r="S10" s="144">
        <v>1</v>
      </c>
      <c r="T10" s="63" t="s">
        <v>21</v>
      </c>
      <c r="U10" s="145">
        <v>45930</v>
      </c>
      <c r="V10" s="65"/>
      <c r="W10" s="144">
        <v>1</v>
      </c>
      <c r="X10" s="63" t="s">
        <v>22</v>
      </c>
      <c r="Y10" s="145">
        <v>45937</v>
      </c>
      <c r="Z10" s="67"/>
      <c r="AA10" s="66"/>
      <c r="AB10" s="62">
        <v>1</v>
      </c>
      <c r="AC10" s="89" t="s">
        <v>86</v>
      </c>
      <c r="AD10" s="86">
        <v>45964</v>
      </c>
      <c r="AE10" s="65"/>
      <c r="AF10" s="62">
        <v>1</v>
      </c>
      <c r="AG10" s="90" t="s">
        <v>87</v>
      </c>
      <c r="AH10" s="88">
        <v>45965</v>
      </c>
      <c r="AI10" s="68"/>
    </row>
    <row r="11" spans="1:35" s="69" customFormat="1" ht="17" thickBot="1" x14ac:dyDescent="0.25">
      <c r="A11" s="71">
        <v>2</v>
      </c>
      <c r="B11" s="72" t="s">
        <v>59</v>
      </c>
      <c r="C11" s="73">
        <v>45891</v>
      </c>
      <c r="D11" s="70"/>
      <c r="E11" s="62">
        <v>2</v>
      </c>
      <c r="F11" s="63" t="s">
        <v>88</v>
      </c>
      <c r="G11" s="64">
        <v>45878</v>
      </c>
      <c r="H11" s="65"/>
      <c r="I11" s="136"/>
      <c r="J11" s="112">
        <v>2</v>
      </c>
      <c r="K11" s="46" t="s">
        <v>67</v>
      </c>
      <c r="L11" s="113">
        <v>45903</v>
      </c>
      <c r="M11" s="25"/>
      <c r="N11" s="112">
        <v>2</v>
      </c>
      <c r="O11" s="46" t="s">
        <v>15</v>
      </c>
      <c r="P11" s="113">
        <v>45902</v>
      </c>
      <c r="Q11" s="137"/>
      <c r="R11" s="70"/>
      <c r="S11" s="146">
        <v>2</v>
      </c>
      <c r="T11" s="147" t="s">
        <v>68</v>
      </c>
      <c r="U11" s="148">
        <v>45930</v>
      </c>
      <c r="V11" s="70"/>
      <c r="W11" s="144">
        <v>2</v>
      </c>
      <c r="X11" s="63" t="s">
        <v>80</v>
      </c>
      <c r="Y11" s="145">
        <v>45943</v>
      </c>
      <c r="Z11" s="67"/>
      <c r="AA11" s="66"/>
      <c r="AB11" s="62">
        <v>2</v>
      </c>
      <c r="AC11" s="91" t="s">
        <v>24</v>
      </c>
      <c r="AD11" s="86">
        <v>45972</v>
      </c>
      <c r="AE11" s="70"/>
      <c r="AF11" s="62">
        <v>2</v>
      </c>
      <c r="AG11" s="91" t="s">
        <v>23</v>
      </c>
      <c r="AH11" s="86">
        <v>45971</v>
      </c>
      <c r="AI11" s="68"/>
    </row>
    <row r="12" spans="1:35" s="69" customFormat="1" ht="17" thickBot="1" x14ac:dyDescent="0.25">
      <c r="A12" s="80"/>
      <c r="B12" s="75"/>
      <c r="C12" s="75"/>
      <c r="D12" s="70"/>
      <c r="E12" s="62">
        <v>3</v>
      </c>
      <c r="F12" s="63" t="s">
        <v>64</v>
      </c>
      <c r="G12" s="64">
        <v>45879</v>
      </c>
      <c r="H12" s="65"/>
      <c r="I12" s="136"/>
      <c r="J12" s="112">
        <v>3</v>
      </c>
      <c r="K12" s="46" t="s">
        <v>17</v>
      </c>
      <c r="L12" s="113">
        <v>45909</v>
      </c>
      <c r="M12" s="25"/>
      <c r="N12" s="112">
        <v>3</v>
      </c>
      <c r="O12" s="46" t="s">
        <v>100</v>
      </c>
      <c r="P12" s="113">
        <v>45908</v>
      </c>
      <c r="Q12" s="137"/>
      <c r="R12" s="70"/>
      <c r="S12" s="75"/>
      <c r="T12" s="75"/>
      <c r="U12" s="75"/>
      <c r="V12" s="70"/>
      <c r="W12" s="144">
        <v>3</v>
      </c>
      <c r="X12" s="63" t="s">
        <v>70</v>
      </c>
      <c r="Y12" s="145">
        <v>45953</v>
      </c>
      <c r="Z12" s="67"/>
      <c r="AA12" s="74"/>
      <c r="AB12" s="62">
        <v>3</v>
      </c>
      <c r="AC12" s="149" t="s">
        <v>69</v>
      </c>
      <c r="AD12" s="150">
        <v>45981</v>
      </c>
      <c r="AE12" s="70"/>
      <c r="AF12" s="71">
        <v>3</v>
      </c>
      <c r="AG12" s="92" t="s">
        <v>72</v>
      </c>
      <c r="AH12" s="87">
        <v>45978</v>
      </c>
      <c r="AI12" s="68"/>
    </row>
    <row r="13" spans="1:35" s="69" customFormat="1" ht="17" thickBot="1" x14ac:dyDescent="0.25">
      <c r="A13" s="81"/>
      <c r="B13" s="77"/>
      <c r="C13" s="77"/>
      <c r="D13" s="70"/>
      <c r="E13" s="62">
        <v>4</v>
      </c>
      <c r="F13" s="63" t="s">
        <v>14</v>
      </c>
      <c r="G13" s="64">
        <v>45883</v>
      </c>
      <c r="H13" s="65"/>
      <c r="I13" s="136"/>
      <c r="J13" s="112">
        <v>4</v>
      </c>
      <c r="K13" s="46" t="s">
        <v>18</v>
      </c>
      <c r="L13" s="113">
        <v>45909</v>
      </c>
      <c r="M13" s="25"/>
      <c r="N13" s="112">
        <v>4</v>
      </c>
      <c r="O13" s="46" t="s">
        <v>64</v>
      </c>
      <c r="P13" s="113">
        <v>45915</v>
      </c>
      <c r="Q13" s="137"/>
      <c r="R13" s="70"/>
      <c r="S13" s="75"/>
      <c r="T13" s="75"/>
      <c r="U13" s="75"/>
      <c r="V13" s="70"/>
      <c r="W13" s="146">
        <v>4</v>
      </c>
      <c r="X13" s="147" t="s">
        <v>71</v>
      </c>
      <c r="Y13" s="148">
        <v>45953</v>
      </c>
      <c r="Z13" s="67"/>
      <c r="AA13" s="74"/>
      <c r="AB13" s="71">
        <v>4</v>
      </c>
      <c r="AC13" s="151" t="s">
        <v>26</v>
      </c>
      <c r="AD13" s="152">
        <v>45979</v>
      </c>
      <c r="AE13" s="70"/>
      <c r="AF13" s="75"/>
      <c r="AG13" s="75"/>
      <c r="AH13" s="75"/>
      <c r="AI13" s="68"/>
    </row>
    <row r="14" spans="1:35" s="69" customFormat="1" ht="17" thickBot="1" x14ac:dyDescent="0.25">
      <c r="A14" s="81"/>
      <c r="B14" s="77"/>
      <c r="C14" s="77"/>
      <c r="D14" s="76"/>
      <c r="E14" s="95">
        <v>5</v>
      </c>
      <c r="F14" s="96" t="s">
        <v>85</v>
      </c>
      <c r="G14" s="97">
        <v>45888</v>
      </c>
      <c r="H14" s="65"/>
      <c r="I14" s="136"/>
      <c r="J14" s="112">
        <v>5</v>
      </c>
      <c r="K14" s="1" t="s">
        <v>19</v>
      </c>
      <c r="L14" s="113">
        <v>45918</v>
      </c>
      <c r="M14" s="25"/>
      <c r="N14" s="112">
        <v>5</v>
      </c>
      <c r="O14" s="1" t="s">
        <v>97</v>
      </c>
      <c r="P14" s="113">
        <v>45922</v>
      </c>
      <c r="Q14" s="137"/>
      <c r="R14" s="70"/>
      <c r="S14" s="77"/>
      <c r="T14" s="77"/>
      <c r="U14" s="77"/>
      <c r="V14" s="70"/>
      <c r="W14" s="98"/>
      <c r="Y14" s="99"/>
      <c r="Z14" s="67"/>
      <c r="AA14" s="74"/>
      <c r="AB14" s="75"/>
      <c r="AC14" s="75"/>
      <c r="AD14" s="75"/>
      <c r="AE14" s="78"/>
      <c r="AF14" s="77"/>
      <c r="AG14" s="77"/>
      <c r="AI14" s="79"/>
    </row>
    <row r="15" spans="1:35" s="69" customFormat="1" ht="17" thickBot="1" x14ac:dyDescent="0.25">
      <c r="A15" s="80"/>
      <c r="B15" s="75"/>
      <c r="C15" s="75"/>
      <c r="D15" s="76"/>
      <c r="E15" s="62">
        <v>6</v>
      </c>
      <c r="F15" s="93" t="s">
        <v>82</v>
      </c>
      <c r="G15" s="94">
        <v>45890</v>
      </c>
      <c r="H15" s="65"/>
      <c r="I15" s="136"/>
      <c r="J15" s="112">
        <v>6</v>
      </c>
      <c r="K15" s="46" t="s">
        <v>20</v>
      </c>
      <c r="L15" s="113">
        <v>45918</v>
      </c>
      <c r="M15" s="25"/>
      <c r="N15" s="124">
        <v>6</v>
      </c>
      <c r="O15" s="125" t="s">
        <v>98</v>
      </c>
      <c r="P15" s="126">
        <v>45928</v>
      </c>
      <c r="Q15" s="137"/>
      <c r="R15" s="108"/>
      <c r="S15" s="75"/>
      <c r="T15" s="75"/>
      <c r="U15" s="75"/>
      <c r="V15" s="76"/>
      <c r="W15" s="98"/>
      <c r="Y15" s="99"/>
      <c r="Z15" s="67"/>
      <c r="AA15" s="74"/>
      <c r="AB15" s="77"/>
      <c r="AD15" s="77"/>
      <c r="AE15" s="78"/>
      <c r="AF15" s="77"/>
      <c r="AG15" s="77"/>
      <c r="AI15" s="79"/>
    </row>
    <row r="16" spans="1:35" s="69" customFormat="1" ht="17" thickBot="1" x14ac:dyDescent="0.25">
      <c r="A16" s="81"/>
      <c r="B16" s="77"/>
      <c r="C16" s="77"/>
      <c r="D16" s="78"/>
      <c r="E16" s="71">
        <v>7</v>
      </c>
      <c r="F16" s="72" t="s">
        <v>81</v>
      </c>
      <c r="G16" s="73">
        <v>45896</v>
      </c>
      <c r="H16" s="106"/>
      <c r="I16" s="136"/>
      <c r="J16" s="114">
        <v>7</v>
      </c>
      <c r="K16" s="101" t="s">
        <v>89</v>
      </c>
      <c r="L16" s="115">
        <v>45922</v>
      </c>
      <c r="M16" s="25"/>
      <c r="N16" s="119"/>
      <c r="O16" s="120"/>
      <c r="P16" s="121"/>
      <c r="Q16" s="137"/>
      <c r="R16" s="108"/>
      <c r="S16" s="77"/>
      <c r="T16" s="77"/>
      <c r="U16" s="77"/>
      <c r="V16" s="76"/>
      <c r="W16" s="75"/>
      <c r="X16" s="75"/>
      <c r="Y16" s="85"/>
      <c r="Z16" s="67"/>
      <c r="AA16" s="74"/>
      <c r="AB16" s="77"/>
      <c r="AD16" s="77"/>
      <c r="AE16" s="78"/>
      <c r="AF16" s="77"/>
      <c r="AG16" s="77"/>
      <c r="AI16" s="79"/>
    </row>
    <row r="17" spans="1:35" s="69" customFormat="1" ht="17" thickBot="1" x14ac:dyDescent="0.25">
      <c r="A17" s="81"/>
      <c r="B17" s="77"/>
      <c r="C17" s="77"/>
      <c r="D17" s="78"/>
      <c r="E17" s="153"/>
      <c r="F17" s="32"/>
      <c r="G17" s="32"/>
      <c r="H17" s="106"/>
      <c r="I17" s="136"/>
      <c r="J17" s="116">
        <v>8</v>
      </c>
      <c r="K17" s="117" t="s">
        <v>62</v>
      </c>
      <c r="L17" s="118">
        <v>45930</v>
      </c>
      <c r="M17" s="21"/>
      <c r="N17" s="32"/>
      <c r="O17" s="32"/>
      <c r="P17" s="32"/>
      <c r="Q17" s="137"/>
      <c r="R17" s="108"/>
      <c r="V17" s="76"/>
      <c r="W17" s="77"/>
      <c r="X17" s="77"/>
      <c r="Y17" s="77"/>
      <c r="Z17" s="67"/>
      <c r="AA17" s="74"/>
      <c r="AB17" s="77"/>
      <c r="AD17" s="77"/>
      <c r="AE17" s="78"/>
      <c r="AF17" s="77"/>
      <c r="AG17" s="77"/>
      <c r="AI17" s="79"/>
    </row>
    <row r="18" spans="1:35" ht="17" thickBot="1" x14ac:dyDescent="0.25">
      <c r="A18" s="17"/>
      <c r="B18" s="18"/>
      <c r="C18" s="18"/>
      <c r="D18" s="18"/>
      <c r="E18" s="19"/>
      <c r="F18" s="18"/>
      <c r="G18" s="18"/>
      <c r="H18" s="107"/>
      <c r="I18" s="138"/>
      <c r="J18" s="139"/>
      <c r="K18" s="140"/>
      <c r="L18" s="140"/>
      <c r="M18" s="141"/>
      <c r="N18" s="142"/>
      <c r="O18" s="141"/>
      <c r="P18" s="141"/>
      <c r="Q18" s="143"/>
      <c r="R18" s="38"/>
      <c r="S18" s="19"/>
      <c r="T18" s="18"/>
      <c r="U18" s="18"/>
      <c r="V18" s="18"/>
      <c r="W18" s="5"/>
      <c r="X18" s="39"/>
      <c r="Y18" s="39"/>
      <c r="Z18" s="20"/>
      <c r="AA18" s="36"/>
      <c r="AB18" s="19"/>
      <c r="AC18" s="18"/>
      <c r="AD18" s="18"/>
      <c r="AE18" s="18"/>
      <c r="AF18" s="19"/>
      <c r="AG18" s="18"/>
      <c r="AH18" s="18"/>
      <c r="AI18" s="20"/>
    </row>
    <row r="19" spans="1:35" ht="17" thickBot="1" x14ac:dyDescent="0.25">
      <c r="A19" s="3"/>
      <c r="B19" s="4"/>
      <c r="C19" s="4"/>
      <c r="D19" s="4"/>
      <c r="E19" s="3"/>
      <c r="F19" s="4"/>
      <c r="G19" s="4"/>
      <c r="H19" s="4"/>
      <c r="I19" s="39"/>
      <c r="J19" s="5"/>
      <c r="K19" s="39"/>
      <c r="L19" s="39"/>
      <c r="M19" s="39"/>
      <c r="N19" s="5"/>
      <c r="O19" s="39"/>
      <c r="P19" s="39"/>
      <c r="Q19" s="39"/>
      <c r="R19" s="39"/>
      <c r="S19" s="5"/>
      <c r="T19" s="39"/>
      <c r="U19" s="39"/>
      <c r="V19" s="39"/>
      <c r="W19" s="5"/>
      <c r="X19" s="39"/>
      <c r="Y19" s="39"/>
      <c r="Z19" s="39"/>
      <c r="AA19" s="39"/>
      <c r="AB19" s="5"/>
      <c r="AC19" s="39"/>
      <c r="AD19" s="39"/>
      <c r="AE19" s="39"/>
      <c r="AF19" s="5"/>
      <c r="AG19" s="39"/>
      <c r="AH19" s="39"/>
      <c r="AI19" s="39"/>
    </row>
    <row r="20" spans="1:35" ht="32" thickBot="1" x14ac:dyDescent="0.4">
      <c r="A20" s="231">
        <v>2026</v>
      </c>
      <c r="B20" s="232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3"/>
    </row>
    <row r="21" spans="1:35" ht="17" thickBot="1" x14ac:dyDescent="0.25">
      <c r="A21" s="6"/>
      <c r="B21" s="31"/>
      <c r="C21" s="31"/>
      <c r="D21" s="7"/>
      <c r="E21" s="8"/>
      <c r="F21" s="7"/>
      <c r="G21" s="7"/>
      <c r="H21" s="9"/>
      <c r="I21" s="34"/>
      <c r="J21" s="8"/>
      <c r="K21" s="31"/>
      <c r="L21" s="31"/>
      <c r="M21" s="7"/>
      <c r="N21" s="8"/>
      <c r="O21" s="7"/>
      <c r="P21" s="7"/>
      <c r="Q21" s="9"/>
      <c r="R21" s="34"/>
      <c r="S21" s="8"/>
      <c r="T21" s="31"/>
      <c r="U21" s="31"/>
      <c r="V21" s="7"/>
      <c r="W21" s="8"/>
      <c r="X21" s="7"/>
      <c r="Y21" s="7"/>
      <c r="Z21" s="9"/>
      <c r="AA21" s="37"/>
      <c r="AB21" s="8"/>
      <c r="AC21" s="31"/>
      <c r="AD21" s="31"/>
      <c r="AE21" s="7"/>
      <c r="AF21" s="8"/>
      <c r="AG21" s="7"/>
      <c r="AH21" s="7"/>
      <c r="AI21" s="9"/>
    </row>
    <row r="22" spans="1:35" ht="20" thickBot="1" x14ac:dyDescent="0.3">
      <c r="A22" s="29"/>
      <c r="B22" s="227" t="s">
        <v>8</v>
      </c>
      <c r="C22" s="228"/>
      <c r="D22" s="21"/>
      <c r="E22" s="12"/>
      <c r="F22" s="11"/>
      <c r="G22" s="11"/>
      <c r="H22" s="13"/>
      <c r="I22" s="35"/>
      <c r="J22" s="40"/>
      <c r="K22" s="83" t="s">
        <v>9</v>
      </c>
      <c r="L22" s="84"/>
      <c r="M22" s="21"/>
      <c r="N22" s="12"/>
      <c r="O22" s="11"/>
      <c r="P22" s="11"/>
      <c r="Q22" s="13"/>
      <c r="R22" s="35"/>
      <c r="S22" s="40"/>
      <c r="T22" s="227" t="s">
        <v>10</v>
      </c>
      <c r="U22" s="228"/>
      <c r="V22" s="21"/>
      <c r="W22" s="12"/>
      <c r="X22" s="11"/>
      <c r="Y22" s="11"/>
      <c r="Z22" s="13"/>
      <c r="AA22" s="21"/>
      <c r="AB22" s="40"/>
      <c r="AC22" s="227" t="s">
        <v>11</v>
      </c>
      <c r="AD22" s="228"/>
      <c r="AE22" s="21"/>
      <c r="AF22" s="12"/>
      <c r="AG22" s="11"/>
      <c r="AH22" s="11"/>
      <c r="AI22" s="13"/>
    </row>
    <row r="23" spans="1:35" ht="17" thickBot="1" x14ac:dyDescent="0.25">
      <c r="A23" s="29"/>
      <c r="B23" s="51" t="s">
        <v>1</v>
      </c>
      <c r="C23" s="52">
        <v>60</v>
      </c>
      <c r="D23" s="30"/>
      <c r="E23" s="12"/>
      <c r="F23" s="11"/>
      <c r="G23" s="11"/>
      <c r="H23" s="13"/>
      <c r="I23" s="35"/>
      <c r="J23" s="40"/>
      <c r="K23" s="51" t="s">
        <v>1</v>
      </c>
      <c r="L23" s="52">
        <v>60</v>
      </c>
      <c r="M23" s="30"/>
      <c r="N23" s="12"/>
      <c r="O23" s="11"/>
      <c r="P23" s="11"/>
      <c r="Q23" s="13"/>
      <c r="R23" s="35"/>
      <c r="S23" s="40"/>
      <c r="T23" s="51" t="s">
        <v>1</v>
      </c>
      <c r="U23" s="52">
        <v>60</v>
      </c>
      <c r="V23" s="30"/>
      <c r="W23" s="12"/>
      <c r="X23" s="11"/>
      <c r="Y23" s="11"/>
      <c r="Z23" s="13"/>
      <c r="AA23" s="21"/>
      <c r="AB23" s="40"/>
      <c r="AC23" s="51" t="s">
        <v>1</v>
      </c>
      <c r="AD23" s="52">
        <v>60</v>
      </c>
      <c r="AE23" s="30"/>
      <c r="AF23" s="12"/>
      <c r="AG23" s="11"/>
      <c r="AH23" s="11"/>
      <c r="AI23" s="13"/>
    </row>
    <row r="24" spans="1:35" ht="17" thickBot="1" x14ac:dyDescent="0.25">
      <c r="A24" s="29"/>
      <c r="B24" s="51" t="s">
        <v>2</v>
      </c>
      <c r="C24" s="53">
        <f>COUNTA(B29:B38,F29:F38)</f>
        <v>6</v>
      </c>
      <c r="D24" s="21"/>
      <c r="E24" s="12"/>
      <c r="F24" s="11"/>
      <c r="G24" s="11"/>
      <c r="H24" s="15"/>
      <c r="I24" s="35"/>
      <c r="J24" s="40"/>
      <c r="K24" s="51" t="s">
        <v>2</v>
      </c>
      <c r="L24" s="53">
        <f>COUNTA(K29:K38,O29:O38)</f>
        <v>14</v>
      </c>
      <c r="M24" s="21"/>
      <c r="N24" s="12"/>
      <c r="O24" s="11"/>
      <c r="P24" s="11"/>
      <c r="Q24" s="13"/>
      <c r="R24" s="35"/>
      <c r="S24" s="40"/>
      <c r="T24" s="51" t="s">
        <v>2</v>
      </c>
      <c r="U24" s="53">
        <f>COUNTA(T29:T38,X29:X38)</f>
        <v>6</v>
      </c>
      <c r="V24" s="21"/>
      <c r="W24" s="12"/>
      <c r="X24" s="11"/>
      <c r="Y24" s="11"/>
      <c r="Z24" s="13"/>
      <c r="AA24" s="21"/>
      <c r="AB24" s="40"/>
      <c r="AC24" s="51" t="s">
        <v>2</v>
      </c>
      <c r="AD24" s="53">
        <f>COUNTA(AC29:AC38,AG29:AG38)</f>
        <v>6</v>
      </c>
      <c r="AE24" s="21"/>
      <c r="AF24" s="12"/>
      <c r="AG24" s="11"/>
      <c r="AH24" s="11"/>
      <c r="AI24" s="13"/>
    </row>
    <row r="25" spans="1:35" ht="17" thickBot="1" x14ac:dyDescent="0.25">
      <c r="A25" s="29"/>
      <c r="B25" s="54" t="s">
        <v>3</v>
      </c>
      <c r="C25" s="55">
        <f>C23*C24</f>
        <v>360</v>
      </c>
      <c r="D25" s="30"/>
      <c r="E25" s="12"/>
      <c r="F25" s="11"/>
      <c r="G25" s="11"/>
      <c r="H25" s="15"/>
      <c r="I25" s="35"/>
      <c r="J25" s="40"/>
      <c r="K25" s="54" t="s">
        <v>3</v>
      </c>
      <c r="L25" s="55">
        <f>L23*L24</f>
        <v>840</v>
      </c>
      <c r="M25" s="30"/>
      <c r="N25" s="12"/>
      <c r="O25" s="11"/>
      <c r="P25" s="11"/>
      <c r="Q25" s="13"/>
      <c r="R25" s="35"/>
      <c r="S25" s="40"/>
      <c r="T25" s="54" t="s">
        <v>3</v>
      </c>
      <c r="U25" s="55">
        <f>U23*U24</f>
        <v>360</v>
      </c>
      <c r="V25" s="30"/>
      <c r="W25" s="12"/>
      <c r="X25" s="11"/>
      <c r="Y25" s="11"/>
      <c r="Z25" s="13"/>
      <c r="AA25" s="21"/>
      <c r="AB25" s="40"/>
      <c r="AC25" s="54" t="s">
        <v>3</v>
      </c>
      <c r="AD25" s="55">
        <f>AD23*AD24</f>
        <v>360</v>
      </c>
      <c r="AE25" s="30"/>
      <c r="AF25" s="12"/>
      <c r="AG25" s="11"/>
      <c r="AH25" s="11"/>
      <c r="AI25" s="13"/>
    </row>
    <row r="26" spans="1:35" ht="17" thickBot="1" x14ac:dyDescent="0.25">
      <c r="A26" s="10"/>
      <c r="B26" s="32"/>
      <c r="C26" s="33"/>
      <c r="D26" s="14"/>
      <c r="E26" s="12"/>
      <c r="F26" s="11"/>
      <c r="G26" s="11"/>
      <c r="H26" s="15"/>
      <c r="I26" s="35"/>
      <c r="J26" s="12"/>
      <c r="K26" s="32"/>
      <c r="L26" s="33"/>
      <c r="M26" s="14"/>
      <c r="N26" s="12"/>
      <c r="O26" s="11"/>
      <c r="P26" s="11"/>
      <c r="Q26" s="13"/>
      <c r="R26" s="35"/>
      <c r="S26" s="12"/>
      <c r="T26" s="32"/>
      <c r="U26" s="33"/>
      <c r="V26" s="14"/>
      <c r="W26" s="12"/>
      <c r="X26" s="11"/>
      <c r="Y26" s="11"/>
      <c r="Z26" s="13"/>
      <c r="AA26" s="21"/>
      <c r="AB26" s="12"/>
      <c r="AC26" s="32"/>
      <c r="AD26" s="33"/>
      <c r="AE26" s="14"/>
      <c r="AF26" s="12"/>
      <c r="AG26" s="11"/>
      <c r="AH26" s="11"/>
      <c r="AI26" s="13"/>
    </row>
    <row r="27" spans="1:35" ht="17" thickBot="1" x14ac:dyDescent="0.25">
      <c r="A27" s="22"/>
      <c r="B27" s="23"/>
      <c r="C27" s="23"/>
      <c r="D27" s="11"/>
      <c r="E27" s="28"/>
      <c r="F27" s="23"/>
      <c r="G27" s="23"/>
      <c r="H27" s="15"/>
      <c r="I27" s="35"/>
      <c r="J27" s="28"/>
      <c r="K27" s="23"/>
      <c r="L27" s="23"/>
      <c r="M27" s="11"/>
      <c r="N27" s="28"/>
      <c r="O27" s="23"/>
      <c r="P27" s="23"/>
      <c r="Q27" s="13"/>
      <c r="R27" s="35"/>
      <c r="S27" s="28"/>
      <c r="T27" s="23"/>
      <c r="U27" s="23"/>
      <c r="V27" s="11"/>
      <c r="W27" s="28"/>
      <c r="X27" s="23"/>
      <c r="Y27" s="23"/>
      <c r="Z27" s="13"/>
      <c r="AA27" s="21"/>
      <c r="AB27" s="28"/>
      <c r="AC27" s="23"/>
      <c r="AD27" s="23"/>
      <c r="AE27" s="11"/>
      <c r="AF27" s="28"/>
      <c r="AG27" s="23"/>
      <c r="AH27" s="23"/>
      <c r="AI27" s="13"/>
    </row>
    <row r="28" spans="1:35" ht="17" thickBot="1" x14ac:dyDescent="0.25">
      <c r="A28" s="197"/>
      <c r="B28" s="198" t="s">
        <v>12</v>
      </c>
      <c r="C28" s="199" t="s">
        <v>0</v>
      </c>
      <c r="D28" s="24"/>
      <c r="E28" s="197"/>
      <c r="F28" s="205" t="s">
        <v>13</v>
      </c>
      <c r="G28" s="199" t="s">
        <v>0</v>
      </c>
      <c r="H28" s="26"/>
      <c r="I28" s="41"/>
      <c r="J28" s="61"/>
      <c r="K28" s="58" t="s">
        <v>12</v>
      </c>
      <c r="L28" s="59" t="s">
        <v>0</v>
      </c>
      <c r="M28" s="24"/>
      <c r="N28" s="61"/>
      <c r="O28" s="59" t="s">
        <v>13</v>
      </c>
      <c r="P28" s="59" t="s">
        <v>0</v>
      </c>
      <c r="Q28" s="26"/>
      <c r="R28" s="41"/>
      <c r="S28" s="61"/>
      <c r="T28" s="58" t="s">
        <v>12</v>
      </c>
      <c r="U28" s="59" t="s">
        <v>0</v>
      </c>
      <c r="V28" s="24"/>
      <c r="W28" s="61"/>
      <c r="X28" s="59" t="s">
        <v>13</v>
      </c>
      <c r="Y28" s="59" t="s">
        <v>0</v>
      </c>
      <c r="Z28" s="26"/>
      <c r="AA28" s="25"/>
      <c r="AB28" s="61"/>
      <c r="AC28" s="58" t="s">
        <v>12</v>
      </c>
      <c r="AD28" s="59" t="s">
        <v>0</v>
      </c>
      <c r="AE28" s="24"/>
      <c r="AF28" s="61"/>
      <c r="AG28" s="59" t="s">
        <v>13</v>
      </c>
      <c r="AH28" s="59" t="s">
        <v>0</v>
      </c>
      <c r="AI28" s="42"/>
    </row>
    <row r="29" spans="1:35" s="69" customFormat="1" ht="17" thickBot="1" x14ac:dyDescent="0.25">
      <c r="A29" s="200">
        <v>1</v>
      </c>
      <c r="B29" s="63" t="s">
        <v>90</v>
      </c>
      <c r="C29" s="201">
        <v>46065</v>
      </c>
      <c r="D29" s="65"/>
      <c r="E29" s="200">
        <v>1</v>
      </c>
      <c r="F29" s="63" t="s">
        <v>77</v>
      </c>
      <c r="G29" s="201">
        <v>46058</v>
      </c>
      <c r="H29" s="67"/>
      <c r="I29" s="66"/>
      <c r="J29" s="62">
        <v>1</v>
      </c>
      <c r="K29" s="63" t="s">
        <v>96</v>
      </c>
      <c r="L29" s="64">
        <v>46083</v>
      </c>
      <c r="M29" s="65"/>
      <c r="N29" s="62">
        <v>1</v>
      </c>
      <c r="O29" s="63" t="s">
        <v>33</v>
      </c>
      <c r="P29" s="47">
        <v>46076</v>
      </c>
      <c r="Q29" s="67"/>
      <c r="R29" s="66"/>
      <c r="S29" s="62">
        <v>1</v>
      </c>
      <c r="T29" s="63" t="s">
        <v>60</v>
      </c>
      <c r="U29" s="64">
        <v>46124</v>
      </c>
      <c r="V29" s="65"/>
      <c r="W29" s="62">
        <v>1</v>
      </c>
      <c r="X29" s="63" t="s">
        <v>77</v>
      </c>
      <c r="Y29" s="64">
        <v>46124</v>
      </c>
      <c r="Z29" s="67"/>
      <c r="AA29" s="70"/>
      <c r="AB29" s="62">
        <v>1</v>
      </c>
      <c r="AC29" s="63" t="s">
        <v>84</v>
      </c>
      <c r="AD29" s="64">
        <v>46143</v>
      </c>
      <c r="AE29" s="65"/>
      <c r="AF29" s="62">
        <v>1</v>
      </c>
      <c r="AG29" s="63" t="s">
        <v>53</v>
      </c>
      <c r="AH29" s="64">
        <v>46143</v>
      </c>
      <c r="AI29" s="68"/>
    </row>
    <row r="30" spans="1:35" s="69" customFormat="1" ht="17" thickBot="1" x14ac:dyDescent="0.25">
      <c r="A30" s="200">
        <v>2</v>
      </c>
      <c r="B30" s="63" t="s">
        <v>63</v>
      </c>
      <c r="C30" s="201">
        <v>46070</v>
      </c>
      <c r="D30" s="70"/>
      <c r="E30" s="200">
        <v>2</v>
      </c>
      <c r="F30" s="63" t="s">
        <v>78</v>
      </c>
      <c r="G30" s="201">
        <v>46066</v>
      </c>
      <c r="H30" s="67"/>
      <c r="I30" s="66"/>
      <c r="J30" s="62">
        <v>2</v>
      </c>
      <c r="K30" s="63" t="s">
        <v>55</v>
      </c>
      <c r="L30" s="64">
        <v>46087</v>
      </c>
      <c r="M30" s="70"/>
      <c r="N30" s="62">
        <v>2</v>
      </c>
      <c r="O30" s="63" t="s">
        <v>93</v>
      </c>
      <c r="P30" s="64">
        <v>46082</v>
      </c>
      <c r="Q30" s="67"/>
      <c r="R30" s="66"/>
      <c r="S30" s="62">
        <v>2</v>
      </c>
      <c r="T30" s="63" t="s">
        <v>54</v>
      </c>
      <c r="U30" s="64">
        <v>46131</v>
      </c>
      <c r="V30" s="70"/>
      <c r="W30" s="62">
        <v>2</v>
      </c>
      <c r="X30" s="63" t="s">
        <v>51</v>
      </c>
      <c r="Y30" s="64">
        <v>46131</v>
      </c>
      <c r="Z30" s="67"/>
      <c r="AA30" s="70"/>
      <c r="AB30" s="62">
        <v>2</v>
      </c>
      <c r="AC30" s="63" t="s">
        <v>83</v>
      </c>
      <c r="AD30" s="64">
        <v>46145</v>
      </c>
      <c r="AE30" s="70"/>
      <c r="AF30" s="62">
        <v>2</v>
      </c>
      <c r="AG30" s="63" t="s">
        <v>93</v>
      </c>
      <c r="AH30" s="64">
        <v>46145</v>
      </c>
      <c r="AI30" s="68"/>
    </row>
    <row r="31" spans="1:35" s="69" customFormat="1" ht="17" thickBot="1" x14ac:dyDescent="0.25">
      <c r="A31" s="202">
        <v>3</v>
      </c>
      <c r="B31" s="203" t="s">
        <v>79</v>
      </c>
      <c r="C31" s="204">
        <v>46073</v>
      </c>
      <c r="D31" s="70"/>
      <c r="E31" s="202">
        <v>3</v>
      </c>
      <c r="F31" s="203" t="s">
        <v>32</v>
      </c>
      <c r="G31" s="204">
        <v>46076</v>
      </c>
      <c r="H31" s="67"/>
      <c r="I31" s="66"/>
      <c r="J31" s="62">
        <v>3</v>
      </c>
      <c r="K31" s="63" t="s">
        <v>65</v>
      </c>
      <c r="L31" s="64">
        <v>46090</v>
      </c>
      <c r="M31" s="70"/>
      <c r="N31" s="62">
        <v>3</v>
      </c>
      <c r="O31" s="63" t="s">
        <v>66</v>
      </c>
      <c r="P31" s="64">
        <v>46089</v>
      </c>
      <c r="Q31" s="67"/>
      <c r="R31" s="66"/>
      <c r="S31" s="62">
        <v>3</v>
      </c>
      <c r="T31" s="63" t="s">
        <v>76</v>
      </c>
      <c r="U31" s="64">
        <v>46138</v>
      </c>
      <c r="V31" s="70"/>
      <c r="W31" s="62">
        <v>3</v>
      </c>
      <c r="X31" s="63" t="s">
        <v>52</v>
      </c>
      <c r="Y31" s="64">
        <v>46138</v>
      </c>
      <c r="Z31" s="67"/>
      <c r="AA31" s="70"/>
      <c r="AB31" s="62">
        <v>3</v>
      </c>
      <c r="AC31" s="63" t="s">
        <v>90</v>
      </c>
      <c r="AD31" s="64">
        <v>46152</v>
      </c>
      <c r="AE31" s="70"/>
      <c r="AF31" s="62">
        <v>3</v>
      </c>
      <c r="AG31" s="63" t="s">
        <v>91</v>
      </c>
      <c r="AH31" s="64">
        <v>46152</v>
      </c>
      <c r="AI31" s="68"/>
    </row>
    <row r="32" spans="1:35" s="69" customFormat="1" ht="17" thickBot="1" x14ac:dyDescent="0.25">
      <c r="A32" s="153"/>
      <c r="B32" s="32"/>
      <c r="C32" s="32"/>
      <c r="D32" s="70"/>
      <c r="E32" s="153"/>
      <c r="F32" s="32"/>
      <c r="G32" s="32"/>
      <c r="H32" s="82"/>
      <c r="I32" s="66"/>
      <c r="J32" s="62">
        <v>4</v>
      </c>
      <c r="K32" s="63" t="s">
        <v>35</v>
      </c>
      <c r="L32" s="64">
        <v>46091</v>
      </c>
      <c r="M32" s="70"/>
      <c r="N32" s="62">
        <v>4</v>
      </c>
      <c r="O32" s="63" t="s">
        <v>95</v>
      </c>
      <c r="P32" s="64">
        <v>46096</v>
      </c>
      <c r="Q32" s="67"/>
      <c r="R32" s="66"/>
      <c r="S32" s="62">
        <v>4</v>
      </c>
      <c r="T32" s="63"/>
      <c r="U32" s="64"/>
      <c r="V32" s="70"/>
      <c r="W32" s="62">
        <v>4</v>
      </c>
      <c r="X32" s="63"/>
      <c r="Y32" s="64"/>
      <c r="Z32" s="67"/>
      <c r="AA32" s="70"/>
      <c r="AB32" s="62">
        <v>4</v>
      </c>
      <c r="AC32" s="63"/>
      <c r="AD32" s="64"/>
      <c r="AE32" s="70"/>
      <c r="AF32" s="62">
        <v>4</v>
      </c>
      <c r="AG32" s="63"/>
      <c r="AH32" s="64"/>
      <c r="AI32" s="68"/>
    </row>
    <row r="33" spans="1:35" s="69" customFormat="1" ht="17" thickBot="1" x14ac:dyDescent="0.25">
      <c r="A33" s="12"/>
      <c r="B33" s="11"/>
      <c r="C33" s="11"/>
      <c r="D33" s="70"/>
      <c r="E33" s="12"/>
      <c r="F33" s="11"/>
      <c r="G33" s="11"/>
      <c r="H33" s="82"/>
      <c r="I33" s="66"/>
      <c r="J33" s="62">
        <v>5</v>
      </c>
      <c r="K33" s="63" t="s">
        <v>73</v>
      </c>
      <c r="L33" s="64">
        <v>46097</v>
      </c>
      <c r="M33" s="70"/>
      <c r="N33" s="62">
        <v>5</v>
      </c>
      <c r="O33" s="63" t="s">
        <v>99</v>
      </c>
      <c r="P33" s="64">
        <v>46103</v>
      </c>
      <c r="Q33" s="67"/>
      <c r="R33" s="66"/>
      <c r="S33" s="62">
        <v>5</v>
      </c>
      <c r="T33" s="63"/>
      <c r="U33" s="64"/>
      <c r="V33" s="70"/>
      <c r="W33" s="62">
        <v>5</v>
      </c>
      <c r="X33" s="63"/>
      <c r="Y33" s="64"/>
      <c r="Z33" s="67"/>
      <c r="AA33" s="70"/>
      <c r="AB33" s="62">
        <v>5</v>
      </c>
      <c r="AC33" s="63"/>
      <c r="AD33" s="64"/>
      <c r="AE33" s="70"/>
      <c r="AF33" s="62">
        <v>5</v>
      </c>
      <c r="AG33" s="63"/>
      <c r="AH33" s="64"/>
      <c r="AI33" s="68"/>
    </row>
    <row r="34" spans="1:35" s="69" customFormat="1" ht="17" thickBot="1" x14ac:dyDescent="0.25">
      <c r="A34" s="12"/>
      <c r="B34" s="11"/>
      <c r="C34" s="11"/>
      <c r="D34" s="70"/>
      <c r="E34" s="12"/>
      <c r="F34" s="11"/>
      <c r="G34" s="11"/>
      <c r="H34" s="82"/>
      <c r="I34" s="66"/>
      <c r="J34" s="62">
        <v>6</v>
      </c>
      <c r="K34" s="63" t="s">
        <v>74</v>
      </c>
      <c r="L34" s="64">
        <v>46098</v>
      </c>
      <c r="M34" s="70"/>
      <c r="N34" s="62">
        <v>6</v>
      </c>
      <c r="O34" s="63" t="s">
        <v>92</v>
      </c>
      <c r="P34" s="64">
        <v>46110</v>
      </c>
      <c r="Q34" s="67"/>
      <c r="R34" s="66"/>
      <c r="S34" s="62">
        <v>6</v>
      </c>
      <c r="T34" s="63"/>
      <c r="U34" s="64"/>
      <c r="V34" s="70"/>
      <c r="W34" s="62">
        <v>6</v>
      </c>
      <c r="X34" s="63"/>
      <c r="Y34" s="64"/>
      <c r="Z34" s="67"/>
      <c r="AA34" s="70"/>
      <c r="AB34" s="62">
        <v>6</v>
      </c>
      <c r="AC34" s="63"/>
      <c r="AD34" s="64"/>
      <c r="AE34" s="70"/>
      <c r="AF34" s="62">
        <v>6</v>
      </c>
      <c r="AG34" s="63"/>
      <c r="AH34" s="64"/>
      <c r="AI34" s="68"/>
    </row>
    <row r="35" spans="1:35" s="69" customFormat="1" ht="17" thickBot="1" x14ac:dyDescent="0.25">
      <c r="A35" s="12"/>
      <c r="B35" s="11"/>
      <c r="C35" s="11"/>
      <c r="D35" s="70"/>
      <c r="E35" s="12"/>
      <c r="F35" s="11"/>
      <c r="G35" s="11"/>
      <c r="H35" s="82"/>
      <c r="I35" s="66"/>
      <c r="J35" s="62">
        <v>7</v>
      </c>
      <c r="K35" s="63" t="s">
        <v>63</v>
      </c>
      <c r="L35" s="64">
        <v>46103</v>
      </c>
      <c r="M35" s="70"/>
      <c r="N35" s="62">
        <v>7</v>
      </c>
      <c r="O35" s="63"/>
      <c r="P35" s="64"/>
      <c r="Q35" s="67"/>
      <c r="R35" s="66"/>
      <c r="S35" s="62">
        <v>7</v>
      </c>
      <c r="T35" s="63"/>
      <c r="U35" s="64"/>
      <c r="V35" s="70"/>
      <c r="W35" s="62">
        <v>7</v>
      </c>
      <c r="X35" s="63"/>
      <c r="Y35" s="64"/>
      <c r="Z35" s="67"/>
      <c r="AA35" s="70"/>
      <c r="AB35" s="62">
        <v>7</v>
      </c>
      <c r="AC35" s="63"/>
      <c r="AD35" s="64"/>
      <c r="AE35" s="70"/>
      <c r="AF35" s="62">
        <v>7</v>
      </c>
      <c r="AG35" s="63"/>
      <c r="AH35" s="64"/>
      <c r="AI35" s="68"/>
    </row>
    <row r="36" spans="1:35" s="69" customFormat="1" ht="17" thickBot="1" x14ac:dyDescent="0.25">
      <c r="A36" s="12"/>
      <c r="B36" s="11"/>
      <c r="C36" s="11"/>
      <c r="D36" s="70"/>
      <c r="E36" s="12"/>
      <c r="F36" s="11"/>
      <c r="G36" s="11"/>
      <c r="H36" s="82"/>
      <c r="I36" s="66"/>
      <c r="J36" s="62">
        <v>8</v>
      </c>
      <c r="K36" s="63" t="s">
        <v>75</v>
      </c>
      <c r="L36" s="64">
        <v>46110</v>
      </c>
      <c r="M36" s="70"/>
      <c r="N36" s="62">
        <v>8</v>
      </c>
      <c r="O36" s="63"/>
      <c r="P36" s="64"/>
      <c r="Q36" s="67"/>
      <c r="R36" s="66"/>
      <c r="S36" s="62">
        <v>8</v>
      </c>
      <c r="T36" s="63"/>
      <c r="U36" s="64"/>
      <c r="V36" s="70"/>
      <c r="W36" s="62">
        <v>8</v>
      </c>
      <c r="X36" s="63"/>
      <c r="Y36" s="64"/>
      <c r="Z36" s="67"/>
      <c r="AA36" s="70"/>
      <c r="AB36" s="62">
        <v>8</v>
      </c>
      <c r="AC36" s="63"/>
      <c r="AD36" s="64"/>
      <c r="AE36" s="70"/>
      <c r="AF36" s="62">
        <v>8</v>
      </c>
      <c r="AG36" s="63"/>
      <c r="AH36" s="64"/>
      <c r="AI36" s="68"/>
    </row>
    <row r="37" spans="1:35" ht="17" thickBot="1" x14ac:dyDescent="0.25">
      <c r="A37" s="12"/>
      <c r="B37" s="11"/>
      <c r="C37" s="11"/>
      <c r="D37" s="25"/>
      <c r="E37" s="12"/>
      <c r="F37" s="11"/>
      <c r="G37" s="11"/>
      <c r="H37" s="16"/>
      <c r="I37" s="41"/>
      <c r="J37" s="45">
        <v>9</v>
      </c>
      <c r="K37" s="46"/>
      <c r="L37" s="47"/>
      <c r="M37" s="25"/>
      <c r="N37" s="45">
        <v>9</v>
      </c>
      <c r="O37" s="63"/>
      <c r="P37" s="64"/>
      <c r="Q37" s="27"/>
      <c r="R37" s="41"/>
      <c r="S37" s="45">
        <v>9</v>
      </c>
      <c r="T37" s="46"/>
      <c r="U37" s="47"/>
      <c r="V37" s="25"/>
      <c r="W37" s="45">
        <v>9</v>
      </c>
      <c r="X37" s="46"/>
      <c r="Y37" s="47"/>
      <c r="Z37" s="27"/>
      <c r="AA37" s="25"/>
      <c r="AB37" s="45">
        <v>9</v>
      </c>
      <c r="AC37" s="46"/>
      <c r="AD37" s="47"/>
      <c r="AE37" s="25"/>
      <c r="AF37" s="45">
        <v>9</v>
      </c>
      <c r="AG37" s="46"/>
      <c r="AH37" s="47"/>
      <c r="AI37" s="42"/>
    </row>
    <row r="38" spans="1:35" ht="17" thickBot="1" x14ac:dyDescent="0.25">
      <c r="A38" s="12"/>
      <c r="B38" s="11"/>
      <c r="C38" s="11"/>
      <c r="D38" s="25"/>
      <c r="E38" s="12"/>
      <c r="F38" s="11"/>
      <c r="G38" s="11"/>
      <c r="H38" s="16"/>
      <c r="I38" s="41"/>
      <c r="J38" s="48">
        <v>10</v>
      </c>
      <c r="K38" s="49"/>
      <c r="L38" s="50"/>
      <c r="M38" s="25"/>
      <c r="N38" s="48">
        <v>10</v>
      </c>
      <c r="O38" s="46"/>
      <c r="P38" s="47"/>
      <c r="Q38" s="27"/>
      <c r="R38" s="41"/>
      <c r="S38" s="48">
        <v>10</v>
      </c>
      <c r="T38" s="49"/>
      <c r="U38" s="50"/>
      <c r="V38" s="25"/>
      <c r="W38" s="48">
        <v>10</v>
      </c>
      <c r="X38" s="49"/>
      <c r="Y38" s="50"/>
      <c r="Z38" s="27"/>
      <c r="AA38" s="25"/>
      <c r="AB38" s="48">
        <v>10</v>
      </c>
      <c r="AC38" s="49"/>
      <c r="AD38" s="50"/>
      <c r="AE38" s="25"/>
      <c r="AF38" s="48">
        <v>10</v>
      </c>
      <c r="AG38" s="49"/>
      <c r="AH38" s="50"/>
      <c r="AI38" s="42"/>
    </row>
    <row r="39" spans="1:35" ht="17" thickBot="1" x14ac:dyDescent="0.25">
      <c r="A39" s="17"/>
      <c r="B39" s="18"/>
      <c r="C39" s="18"/>
      <c r="D39" s="18"/>
      <c r="E39" s="19"/>
      <c r="F39" s="18"/>
      <c r="G39" s="18"/>
      <c r="H39" s="20"/>
      <c r="I39" s="36"/>
      <c r="J39" s="5"/>
      <c r="K39" s="39"/>
      <c r="L39" s="39"/>
      <c r="M39" s="18"/>
      <c r="N39" s="5"/>
      <c r="O39" s="39"/>
      <c r="P39" s="39"/>
      <c r="Q39" s="20"/>
      <c r="R39" s="36"/>
      <c r="S39" s="5"/>
      <c r="T39" s="39"/>
      <c r="U39" s="39"/>
      <c r="V39" s="18"/>
      <c r="W39" s="5"/>
      <c r="X39" s="39"/>
      <c r="Y39" s="39"/>
      <c r="Z39" s="20"/>
      <c r="AA39" s="38"/>
      <c r="AB39" s="5"/>
      <c r="AC39" s="39"/>
      <c r="AD39" s="39"/>
      <c r="AE39" s="18"/>
      <c r="AF39" s="5"/>
      <c r="AG39" s="39"/>
      <c r="AH39" s="39"/>
      <c r="AI39" s="20"/>
    </row>
    <row r="42" spans="1:35" ht="17" thickBot="1" x14ac:dyDescent="0.25"/>
    <row r="43" spans="1:35" ht="27" thickBot="1" x14ac:dyDescent="0.25">
      <c r="B43" s="154" t="s">
        <v>27</v>
      </c>
      <c r="C43" s="221">
        <f>C6+L6+U6+AD6</f>
        <v>2160</v>
      </c>
      <c r="D43" s="221"/>
      <c r="E43" s="222"/>
    </row>
    <row r="44" spans="1:35" ht="17" thickBot="1" x14ac:dyDescent="0.25"/>
    <row r="45" spans="1:35" ht="27" thickBot="1" x14ac:dyDescent="0.25">
      <c r="B45" s="154" t="s">
        <v>34</v>
      </c>
      <c r="C45" s="221">
        <f>C25+L25+U25+AD25</f>
        <v>1920</v>
      </c>
      <c r="D45" s="221"/>
      <c r="E45" s="222"/>
    </row>
  </sheetData>
  <sortState xmlns:xlrd2="http://schemas.microsoft.com/office/spreadsheetml/2017/richdata2" ref="K11:L14">
    <sortCondition ref="L10:L14"/>
  </sortState>
  <mergeCells count="11">
    <mergeCell ref="C45:E45"/>
    <mergeCell ref="C43:E43"/>
    <mergeCell ref="A1:AI1"/>
    <mergeCell ref="B22:C22"/>
    <mergeCell ref="T22:U22"/>
    <mergeCell ref="AC22:AD22"/>
    <mergeCell ref="B3:C3"/>
    <mergeCell ref="K3:L3"/>
    <mergeCell ref="T3:U3"/>
    <mergeCell ref="AC3:AD3"/>
    <mergeCell ref="A20:A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Season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Luciana Galimberti</cp:lastModifiedBy>
  <dcterms:created xsi:type="dcterms:W3CDTF">2023-08-17T11:09:31Z</dcterms:created>
  <dcterms:modified xsi:type="dcterms:W3CDTF">2026-04-24T22:25:18Z</dcterms:modified>
  <cp:category/>
</cp:coreProperties>
</file>