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icachu/Data analysis/Projects/Personal Earning/"/>
    </mc:Choice>
  </mc:AlternateContent>
  <xr:revisionPtr revIDLastSave="0" documentId="13_ncr:1_{31DCC943-D297-5D4A-8710-EDD03A88817A}" xr6:coauthVersionLast="47" xr6:coauthVersionMax="47" xr10:uidLastSave="{00000000-0000-0000-0000-000000000000}"/>
  <bookViews>
    <workbookView xWindow="0" yWindow="500" windowWidth="27960" windowHeight="20360" xr2:uid="{00000000-000D-0000-FFFF-FFFF00000000}"/>
  </bookViews>
  <sheets>
    <sheet name="Summary" sheetId="4" r:id="rId1"/>
    <sheet name="JULY 2026" sheetId="24" r:id="rId2"/>
    <sheet name="JUNE 2026" sheetId="22" r:id="rId3"/>
    <sheet name="MAY 2026" sheetId="21" r:id="rId4"/>
    <sheet name="APRIL 2026" sheetId="20" r:id="rId5"/>
    <sheet name="MARCH 2026" sheetId="19" r:id="rId6"/>
    <sheet name="FEBRUARY 2026" sheetId="18" r:id="rId7"/>
    <sheet name="JANUARY 2026" sheetId="23" r:id="rId8"/>
    <sheet name="DECEMBER 2025" sheetId="17" r:id="rId9"/>
    <sheet name="NOVEMBER 2025" sheetId="16" r:id="rId10"/>
    <sheet name="OCTOBER 2025" sheetId="15" r:id="rId11"/>
    <sheet name="SEPTEMBER 2025" sheetId="14" r:id="rId12"/>
    <sheet name="AUGUST  2025" sheetId="2" r:id="rId13"/>
  </sheets>
  <definedNames>
    <definedName name="_xlnm.Print_Area" localSheetId="4">'APRIL 2026'!$A$1:$F$48</definedName>
    <definedName name="_xlnm.Print_Area" localSheetId="8">'DECEMBER 2025'!$A$1:$D$52</definedName>
    <definedName name="_xlnm.Print_Area" localSheetId="6">'FEBRUARY 2026'!$A$1:$C$40</definedName>
    <definedName name="_xlnm.Print_Area" localSheetId="7">'JANUARY 2026'!$A$1:$C$40</definedName>
    <definedName name="_xlnm.Print_Area" localSheetId="1">'JULY 2026'!$A$1:$F$48</definedName>
    <definedName name="_xlnm.Print_Area" localSheetId="2">'JUNE 2026'!$A$1:$F$48</definedName>
    <definedName name="_xlnm.Print_Area" localSheetId="5">'MARCH 2026'!$A$1:$F$48</definedName>
    <definedName name="_xlnm.Print_Area" localSheetId="3">'MAY 2026'!$A$1:$F$48</definedName>
    <definedName name="_xlnm.Print_Area" localSheetId="9">'NOVEMBER 2025'!$A$1:$F$48</definedName>
    <definedName name="_xlnm.Print_Area" localSheetId="10">'OCTOBER 2025'!$A$1:$H$46</definedName>
    <definedName name="_xlnm.Print_Area" localSheetId="11">'SEPTEMBER 2025'!$A$1:$K$46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C15" i="4"/>
  <c r="C31" i="4" s="1"/>
  <c r="B35" i="21"/>
  <c r="C14" i="4"/>
  <c r="B14" i="4"/>
  <c r="I35" i="24"/>
  <c r="H36" i="24" s="1"/>
  <c r="H35" i="24"/>
  <c r="G35" i="24"/>
  <c r="F36" i="24" s="1"/>
  <c r="F35" i="24"/>
  <c r="E35" i="24"/>
  <c r="D36" i="24" s="1"/>
  <c r="D35" i="24"/>
  <c r="C35" i="24"/>
  <c r="B35" i="24"/>
  <c r="B36" i="24" s="1"/>
  <c r="C8" i="4"/>
  <c r="B31" i="23"/>
  <c r="B7" i="4"/>
  <c r="C7" i="4"/>
  <c r="B39" i="24" l="1"/>
  <c r="B41" i="24" s="1"/>
  <c r="B33" i="23"/>
  <c r="I35" i="22" l="1"/>
  <c r="H35" i="22"/>
  <c r="G35" i="22"/>
  <c r="F35" i="22"/>
  <c r="E35" i="22"/>
  <c r="D35" i="22"/>
  <c r="C35" i="22"/>
  <c r="B35" i="22"/>
  <c r="I35" i="21"/>
  <c r="H35" i="21"/>
  <c r="G35" i="21"/>
  <c r="F35" i="21"/>
  <c r="E35" i="21"/>
  <c r="D35" i="21"/>
  <c r="C35" i="21"/>
  <c r="B36" i="21" s="1"/>
  <c r="E35" i="20"/>
  <c r="D35" i="20"/>
  <c r="C35" i="20"/>
  <c r="B35" i="20"/>
  <c r="I35" i="19"/>
  <c r="H35" i="19"/>
  <c r="G35" i="19"/>
  <c r="F35" i="19"/>
  <c r="E35" i="19"/>
  <c r="D35" i="19"/>
  <c r="C35" i="19"/>
  <c r="B35" i="19"/>
  <c r="B9" i="4"/>
  <c r="C9" i="4"/>
  <c r="C27" i="18"/>
  <c r="B27" i="18"/>
  <c r="C28" i="4"/>
  <c r="B39" i="17"/>
  <c r="D39" i="17"/>
  <c r="D40" i="17" s="1"/>
  <c r="C39" i="17"/>
  <c r="G35" i="16"/>
  <c r="G36" i="16" s="1"/>
  <c r="E35" i="16"/>
  <c r="F35" i="16"/>
  <c r="D35" i="16"/>
  <c r="C35" i="16"/>
  <c r="B35" i="16"/>
  <c r="B36" i="16" s="1"/>
  <c r="B39" i="22" l="1"/>
  <c r="H36" i="22"/>
  <c r="B41" i="22"/>
  <c r="C13" i="4" s="1"/>
  <c r="B13" i="4"/>
  <c r="D36" i="20"/>
  <c r="B39" i="19"/>
  <c r="B41" i="19" s="1"/>
  <c r="D36" i="22"/>
  <c r="F36" i="22"/>
  <c r="H36" i="21"/>
  <c r="B36" i="22"/>
  <c r="D36" i="21"/>
  <c r="F36" i="21"/>
  <c r="B39" i="21"/>
  <c r="B36" i="20"/>
  <c r="B39" i="20"/>
  <c r="H36" i="19"/>
  <c r="F36" i="19"/>
  <c r="D36" i="19"/>
  <c r="B36" i="19"/>
  <c r="B31" i="18"/>
  <c r="B33" i="18" s="1"/>
  <c r="B28" i="18"/>
  <c r="B40" i="17"/>
  <c r="B43" i="17"/>
  <c r="B45" i="17" s="1"/>
  <c r="B39" i="16"/>
  <c r="F36" i="16"/>
  <c r="D36" i="16"/>
  <c r="B41" i="21" l="1"/>
  <c r="C12" i="4" s="1"/>
  <c r="B12" i="4"/>
  <c r="B41" i="20"/>
  <c r="C11" i="4" s="1"/>
  <c r="B11" i="4"/>
  <c r="C10" i="4"/>
  <c r="B10" i="4"/>
  <c r="B41" i="16"/>
  <c r="C6" i="4" s="1"/>
  <c r="B6" i="4"/>
  <c r="H33" i="15"/>
  <c r="H34" i="15" s="1"/>
  <c r="G33" i="15"/>
  <c r="F33" i="15"/>
  <c r="E33" i="15"/>
  <c r="D33" i="15"/>
  <c r="C33" i="15"/>
  <c r="B33" i="15"/>
  <c r="B34" i="2"/>
  <c r="B33" i="2"/>
  <c r="B38" i="2" s="1"/>
  <c r="F33" i="14"/>
  <c r="G33" i="14"/>
  <c r="F34" i="14" s="1"/>
  <c r="H33" i="14"/>
  <c r="I33" i="14"/>
  <c r="E33" i="14"/>
  <c r="B33" i="14"/>
  <c r="C33" i="14"/>
  <c r="D33" i="14"/>
  <c r="B40" i="2" l="1"/>
  <c r="C3" i="4" s="1"/>
  <c r="B3" i="4"/>
  <c r="B37" i="15"/>
  <c r="F34" i="15"/>
  <c r="B34" i="15"/>
  <c r="D34" i="15"/>
  <c r="H34" i="14"/>
  <c r="B37" i="14"/>
  <c r="B4" i="4" s="1"/>
  <c r="D34" i="14"/>
  <c r="B34" i="14"/>
  <c r="B39" i="15" l="1"/>
  <c r="C5" i="4" s="1"/>
  <c r="B5" i="4"/>
  <c r="B15" i="4" s="1"/>
  <c r="B39" i="14"/>
  <c r="C4" i="4" s="1"/>
</calcChain>
</file>

<file path=xl/sharedStrings.xml><?xml version="1.0" encoding="utf-8"?>
<sst xmlns="http://schemas.openxmlformats.org/spreadsheetml/2006/main" count="1651" uniqueCount="91">
  <si>
    <t>Friday</t>
  </si>
  <si>
    <t>Time</t>
  </si>
  <si>
    <t>Day</t>
  </si>
  <si>
    <t>Value per Hour</t>
  </si>
  <si>
    <t>Total</t>
  </si>
  <si>
    <t>Wednesday</t>
  </si>
  <si>
    <t>U14B2</t>
  </si>
  <si>
    <t>U16G2</t>
  </si>
  <si>
    <t>TOTAL Hours</t>
  </si>
  <si>
    <t>U11B1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</si>
  <si>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</si>
  <si>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</si>
  <si>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</si>
  <si>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</si>
  <si>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</si>
  <si>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</si>
  <si>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</si>
  <si>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</si>
  <si>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</si>
  <si>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</si>
  <si>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</si>
  <si>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</si>
  <si>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</si>
  <si>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</si>
  <si>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</si>
  <si>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</si>
  <si>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</si>
  <si>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</si>
  <si>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</si>
  <si>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</si>
  <si>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</si>
  <si>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</si>
  <si>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</si>
  <si>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</si>
  <si>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</si>
  <si>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</si>
  <si>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</si>
  <si>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</si>
  <si>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</si>
  <si>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</si>
  <si>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SUP. U8</t>
  </si>
  <si>
    <t>SUP. U9</t>
  </si>
  <si>
    <t>Hours per Week</t>
  </si>
  <si>
    <t>Hours per Day</t>
  </si>
  <si>
    <t>U11B2</t>
  </si>
  <si>
    <t>U9B1</t>
  </si>
  <si>
    <t>U16G</t>
  </si>
  <si>
    <t>U9G2</t>
  </si>
  <si>
    <t>Sup. U11</t>
  </si>
  <si>
    <t>VALUE per Hour</t>
  </si>
  <si>
    <t>WEEK</t>
  </si>
  <si>
    <t>Hours</t>
  </si>
  <si>
    <t xml:space="preserve"> </t>
  </si>
  <si>
    <t>BENEF.</t>
  </si>
  <si>
    <t>Amount</t>
  </si>
  <si>
    <t>To Be Paid</t>
  </si>
  <si>
    <t>U14B1</t>
  </si>
  <si>
    <t>Thursday - Indoor</t>
  </si>
  <si>
    <t>20:30 - 20:45</t>
  </si>
  <si>
    <t>20:45 - 21:00</t>
  </si>
  <si>
    <t>U19G2/G3</t>
  </si>
  <si>
    <t>U19G1</t>
  </si>
  <si>
    <t>GK</t>
  </si>
  <si>
    <t>U14G1</t>
  </si>
  <si>
    <t>Monday - Indoor</t>
  </si>
  <si>
    <t>21:15 - 21:30</t>
  </si>
  <si>
    <t>21:45 - 22:00</t>
  </si>
  <si>
    <t>21:30 - 21:45</t>
  </si>
  <si>
    <t>21:00 - 21:15</t>
  </si>
  <si>
    <t>Wednesday - Indoor</t>
  </si>
  <si>
    <t>Trimmers</t>
  </si>
  <si>
    <t>U9G1</t>
  </si>
  <si>
    <t>U11G1</t>
  </si>
  <si>
    <t>Sup</t>
  </si>
  <si>
    <t>U7G</t>
  </si>
  <si>
    <t>U7B</t>
  </si>
  <si>
    <t>SUP</t>
  </si>
  <si>
    <t>Aug+Sept+Oct</t>
  </si>
  <si>
    <t>Nov</t>
  </si>
  <si>
    <t>Details</t>
  </si>
  <si>
    <t>SEASON 25-26</t>
  </si>
  <si>
    <t>Date</t>
  </si>
  <si>
    <t>Quantity</t>
  </si>
  <si>
    <t>Type</t>
  </si>
  <si>
    <t>Expected</t>
  </si>
  <si>
    <t>Club</t>
  </si>
  <si>
    <t>Category</t>
  </si>
  <si>
    <t>Paid</t>
  </si>
  <si>
    <t>Estimated</t>
  </si>
  <si>
    <t>Blue Warriors</t>
  </si>
  <si>
    <t>Blue Warriors HOCKEY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</si>
</sst>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m/d/yyyy"/>
    <numFmt numFmtId="166" formatCode="#,##0.00\ [$€-80C]"/>
    <numFmt numFmtId="167" formatCode="yyyy\-mm\-dd;@"/>
  </numFmts>
  <fonts count="15" x14ac:knownFonts="1">
    <font>
      <sz val="10"/>
      <color indexed="8"/>
      <name val="Helvetica Neue"/>
    </font>
    <font>
      <sz val="11"/>
      <color indexed="8"/>
      <name val="Calibri"/>
      <family val="2"/>
    </font>
    <font>
      <sz val="13"/>
      <color indexed="8"/>
      <name val="Calibri"/>
      <family val="2"/>
    </font>
    <font>
      <sz val="8"/>
      <name val="Helvetica Neue"/>
      <family val="2"/>
    </font>
    <font>
      <b/>
      <sz val="13"/>
      <color indexed="8"/>
      <name val="Calibri"/>
      <family val="2"/>
    </font>
    <font>
      <b/>
      <sz val="14"/>
      <color indexed="8"/>
      <name val="Calibri"/>
      <family val="2"/>
    </font>
    <font>
      <i/>
      <u/>
      <sz val="11"/>
      <color indexed="8"/>
      <name val="Calibri"/>
      <family val="2"/>
    </font>
    <font>
      <sz val="10"/>
      <color indexed="8"/>
      <name val="Helvetica Neue"/>
      <family val="2"/>
    </font>
    <font>
      <b/>
      <sz val="11"/>
      <color indexed="8"/>
      <name val="Calibri"/>
      <family val="2"/>
    </font>
    <font>
      <b/>
      <sz val="10"/>
      <color indexed="8"/>
      <name val="Helvetica Neue"/>
      <family val="2"/>
    </font>
    <font>
      <b/>
      <sz val="14"/>
      <color indexed="8"/>
      <name val="Helvetica Neue (Body)"/>
    </font>
    <font>
      <sz val="14"/>
      <color indexed="8"/>
      <name val="Helvetica Neue (Body)"/>
    </font>
    <font>
      <b/>
      <i/>
      <sz val="14"/>
      <color rgb="FF00B050"/>
      <name val="Helvetica Neue (Body)"/>
    </font>
    <font>
      <b/>
      <sz val="14"/>
      <color theme="6" tint="-0.249977111117893"/>
      <name val="Helvetica Neue (Body)"/>
    </font>
    <font>
      <b/>
      <sz val="14"/>
      <color rgb="FFC00000"/>
      <name val="Helvetica Neue (Body)"/>
    </font>
  </fonts>
  <fills count="8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rgb="FFFFE3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3">
    <xf numFmtId="0" fontId="0" fillId="0" borderId="0" xfId="0">
      <alignment vertical="top" wrapText="1"/>
    </xf>
    <xf numFmtId="0" fontId="0" fillId="0" borderId="0" xfId="0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" fontId="8" fillId="2" borderId="10" xfId="0" applyNumberFormat="1" applyFont="1" applyFill="1" applyBorder="1" applyAlignment="1">
      <alignment horizontal="center" vertical="center"/>
    </xf>
    <xf numFmtId="16" fontId="8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>
      <alignment vertical="top" wrapText="1"/>
    </xf>
    <xf numFmtId="2" fontId="2" fillId="5" borderId="4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>
      <alignment vertical="top" wrapText="1"/>
    </xf>
    <xf numFmtId="2" fontId="0" fillId="0" borderId="0" xfId="0" applyNumberForma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2" fontId="1" fillId="3" borderId="10" xfId="0" applyNumberFormat="1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vertical="center"/>
    </xf>
    <xf numFmtId="49" fontId="2" fillId="4" borderId="15" xfId="0" applyNumberFormat="1" applyFont="1" applyFill="1" applyBorder="1" applyAlignment="1">
      <alignment horizontal="center" vertical="center"/>
    </xf>
    <xf numFmtId="2" fontId="4" fillId="4" borderId="16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49" fontId="1" fillId="6" borderId="10" xfId="0" applyNumberFormat="1" applyFont="1" applyFill="1" applyBorder="1" applyAlignment="1">
      <alignment horizontal="center" vertical="center"/>
    </xf>
    <xf numFmtId="1" fontId="1" fillId="6" borderId="10" xfId="0" applyNumberFormat="1" applyFont="1" applyFill="1" applyBorder="1" applyAlignment="1">
      <alignment horizontal="center" vertical="center"/>
    </xf>
    <xf numFmtId="165" fontId="8" fillId="7" borderId="10" xfId="0" applyNumberFormat="1" applyFont="1" applyFill="1" applyBorder="1" applyAlignment="1">
      <alignment horizontal="center" vertical="center"/>
    </xf>
    <xf numFmtId="165" fontId="6" fillId="7" borderId="10" xfId="0" applyNumberFormat="1" applyFont="1" applyFill="1" applyBorder="1" applyAlignment="1">
      <alignment horizontal="center" vertical="center"/>
    </xf>
    <xf numFmtId="49" fontId="1" fillId="7" borderId="20" xfId="0" applyNumberFormat="1" applyFont="1" applyFill="1" applyBorder="1" applyAlignment="1">
      <alignment horizontal="center" vertical="center"/>
    </xf>
    <xf numFmtId="0" fontId="1" fillId="7" borderId="20" xfId="0" applyNumberFormat="1" applyFont="1" applyFill="1" applyBorder="1" applyAlignment="1">
      <alignment horizontal="center" vertical="center"/>
    </xf>
    <xf numFmtId="49" fontId="1" fillId="7" borderId="7" xfId="0" applyNumberFormat="1" applyFont="1" applyFill="1" applyBorder="1" applyAlignment="1">
      <alignment horizontal="center" vertical="center"/>
    </xf>
    <xf numFmtId="0" fontId="7" fillId="0" borderId="0" xfId="0" applyFont="1">
      <alignment vertical="top" wrapText="1"/>
    </xf>
    <xf numFmtId="49" fontId="1" fillId="0" borderId="25" xfId="0" applyNumberFormat="1" applyFont="1" applyBorder="1" applyAlignment="1">
      <alignment horizontal="center" vertical="center"/>
    </xf>
    <xf numFmtId="49" fontId="1" fillId="7" borderId="26" xfId="0" applyNumberFormat="1" applyFont="1" applyFill="1" applyBorder="1" applyAlignment="1">
      <alignment horizontal="center" vertical="center"/>
    </xf>
    <xf numFmtId="0" fontId="1" fillId="7" borderId="26" xfId="0" applyNumberFormat="1" applyFont="1" applyFill="1" applyBorder="1" applyAlignment="1">
      <alignment horizontal="center" vertical="center"/>
    </xf>
    <xf numFmtId="49" fontId="1" fillId="7" borderId="27" xfId="0" applyNumberFormat="1" applyFont="1" applyFill="1" applyBorder="1" applyAlignment="1">
      <alignment horizontal="center" vertical="center"/>
    </xf>
    <xf numFmtId="49" fontId="1" fillId="3" borderId="10" xfId="0" applyNumberFormat="1" applyFont="1" applyFill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/>
    </xf>
    <xf numFmtId="49" fontId="1" fillId="0" borderId="33" xfId="0" applyNumberFormat="1" applyFont="1" applyBorder="1" applyAlignment="1">
      <alignment horizontal="center" vertical="center"/>
    </xf>
    <xf numFmtId="49" fontId="1" fillId="0" borderId="34" xfId="0" applyNumberFormat="1" applyFont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49" fontId="1" fillId="7" borderId="35" xfId="0" applyNumberFormat="1" applyFont="1" applyFill="1" applyBorder="1" applyAlignment="1">
      <alignment horizontal="center" vertical="center"/>
    </xf>
    <xf numFmtId="49" fontId="1" fillId="7" borderId="23" xfId="0" applyNumberFormat="1" applyFont="1" applyFill="1" applyBorder="1" applyAlignment="1">
      <alignment horizontal="center" vertical="center"/>
    </xf>
    <xf numFmtId="0" fontId="1" fillId="7" borderId="23" xfId="0" applyNumberFormat="1" applyFont="1" applyFill="1" applyBorder="1" applyAlignment="1">
      <alignment horizontal="center" vertical="center"/>
    </xf>
    <xf numFmtId="49" fontId="1" fillId="7" borderId="25" xfId="0" applyNumberFormat="1" applyFont="1" applyFill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1" fillId="0" borderId="0" xfId="0" applyFont="1">
      <alignment vertical="top" wrapText="1"/>
    </xf>
    <xf numFmtId="2" fontId="11" fillId="0" borderId="11" xfId="0" applyNumberFormat="1" applyFont="1" applyFill="1" applyBorder="1" applyAlignment="1">
      <alignment horizontal="center" vertical="top" wrapText="1"/>
    </xf>
    <xf numFmtId="164" fontId="11" fillId="0" borderId="11" xfId="0" applyNumberFormat="1" applyFont="1" applyFill="1" applyBorder="1">
      <alignment vertical="top" wrapText="1"/>
    </xf>
    <xf numFmtId="164" fontId="11" fillId="0" borderId="34" xfId="0" applyNumberFormat="1" applyFont="1" applyBorder="1">
      <alignment vertical="top" wrapText="1"/>
    </xf>
    <xf numFmtId="0" fontId="11" fillId="0" borderId="17" xfId="0" applyFont="1" applyBorder="1">
      <alignment vertical="top" wrapText="1"/>
    </xf>
    <xf numFmtId="2" fontId="11" fillId="0" borderId="9" xfId="0" applyNumberFormat="1" applyFont="1" applyBorder="1" applyAlignment="1">
      <alignment horizontal="center" vertical="top" wrapText="1"/>
    </xf>
    <xf numFmtId="164" fontId="11" fillId="0" borderId="9" xfId="0" applyNumberFormat="1" applyFont="1" applyBorder="1">
      <alignment vertical="top" wrapText="1"/>
    </xf>
    <xf numFmtId="2" fontId="11" fillId="0" borderId="12" xfId="0" applyNumberFormat="1" applyFont="1" applyBorder="1" applyAlignment="1">
      <alignment horizontal="center" vertical="top" wrapText="1"/>
    </xf>
    <xf numFmtId="164" fontId="11" fillId="0" borderId="12" xfId="0" applyNumberFormat="1" applyFont="1" applyBorder="1">
      <alignment vertical="top" wrapText="1"/>
    </xf>
    <xf numFmtId="2" fontId="11" fillId="0" borderId="0" xfId="0" applyNumberFormat="1" applyFont="1">
      <alignment vertical="top" wrapText="1"/>
    </xf>
    <xf numFmtId="0" fontId="10" fillId="0" borderId="10" xfId="0" applyFont="1" applyBorder="1">
      <alignment vertical="top" wrapText="1"/>
    </xf>
    <xf numFmtId="2" fontId="10" fillId="0" borderId="10" xfId="0" applyNumberFormat="1" applyFont="1" applyBorder="1" applyAlignment="1">
      <alignment horizontal="center" vertical="top" wrapText="1"/>
    </xf>
    <xf numFmtId="164" fontId="10" fillId="0" borderId="10" xfId="0" applyNumberFormat="1" applyFont="1" applyBorder="1">
      <alignment vertical="top" wrapText="1"/>
    </xf>
    <xf numFmtId="164" fontId="10" fillId="0" borderId="0" xfId="0" applyNumberFormat="1" applyFont="1" applyBorder="1">
      <alignment vertical="top" wrapText="1"/>
    </xf>
    <xf numFmtId="2" fontId="11" fillId="0" borderId="37" xfId="0" applyNumberFormat="1" applyFont="1" applyFill="1" applyBorder="1">
      <alignment vertical="top" wrapText="1"/>
    </xf>
    <xf numFmtId="164" fontId="11" fillId="0" borderId="33" xfId="0" applyNumberFormat="1" applyFont="1" applyFill="1" applyBorder="1">
      <alignment vertical="top" wrapText="1"/>
    </xf>
    <xf numFmtId="2" fontId="11" fillId="0" borderId="9" xfId="0" applyNumberFormat="1" applyFont="1" applyFill="1" applyBorder="1">
      <alignment vertical="top" wrapText="1"/>
    </xf>
    <xf numFmtId="164" fontId="11" fillId="0" borderId="9" xfId="0" applyNumberFormat="1" applyFont="1" applyFill="1" applyBorder="1">
      <alignment vertical="top" wrapText="1"/>
    </xf>
    <xf numFmtId="2" fontId="11" fillId="0" borderId="11" xfId="0" applyNumberFormat="1" applyFont="1" applyFill="1" applyBorder="1">
      <alignment vertical="top" wrapText="1"/>
    </xf>
    <xf numFmtId="2" fontId="11" fillId="0" borderId="39" xfId="0" applyNumberFormat="1" applyFont="1" applyFill="1" applyBorder="1">
      <alignment vertical="top" wrapText="1"/>
    </xf>
    <xf numFmtId="164" fontId="11" fillId="0" borderId="39" xfId="0" applyNumberFormat="1" applyFont="1" applyFill="1" applyBorder="1">
      <alignment vertical="top" wrapText="1"/>
    </xf>
    <xf numFmtId="164" fontId="13" fillId="0" borderId="13" xfId="0" applyNumberFormat="1" applyFont="1" applyBorder="1">
      <alignment vertical="top" wrapText="1"/>
    </xf>
    <xf numFmtId="166" fontId="14" fillId="0" borderId="10" xfId="0" applyNumberFormat="1" applyFont="1" applyBorder="1" applyAlignment="1">
      <alignment vertical="center" wrapText="1"/>
    </xf>
    <xf numFmtId="164" fontId="13" fillId="0" borderId="0" xfId="0" applyNumberFormat="1" applyFont="1" applyBorder="1">
      <alignment vertical="top" wrapText="1"/>
    </xf>
    <xf numFmtId="166" fontId="14" fillId="0" borderId="0" xfId="0" applyNumberFormat="1" applyFont="1" applyBorder="1" applyAlignment="1">
      <alignment vertical="center" wrapText="1"/>
    </xf>
    <xf numFmtId="166" fontId="11" fillId="0" borderId="0" xfId="0" applyNumberFormat="1" applyFont="1">
      <alignment vertical="top" wrapText="1"/>
    </xf>
    <xf numFmtId="0" fontId="11" fillId="0" borderId="34" xfId="0" applyFont="1" applyBorder="1">
      <alignment vertical="top" wrapText="1"/>
    </xf>
    <xf numFmtId="0" fontId="11" fillId="0" borderId="31" xfId="0" applyFont="1" applyBorder="1">
      <alignment vertical="top" wrapText="1"/>
    </xf>
    <xf numFmtId="0" fontId="10" fillId="0" borderId="13" xfId="0" applyFont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43" xfId="0" applyNumberFormat="1" applyFont="1" applyBorder="1" applyAlignment="1">
      <alignment horizontal="center" vertical="center" wrapText="1"/>
    </xf>
    <xf numFmtId="1" fontId="1" fillId="6" borderId="2" xfId="0" applyNumberFormat="1" applyFont="1" applyFill="1" applyBorder="1" applyAlignment="1">
      <alignment vertical="center"/>
    </xf>
    <xf numFmtId="1" fontId="1" fillId="6" borderId="3" xfId="0" applyNumberFormat="1" applyFont="1" applyFill="1" applyBorder="1" applyAlignment="1">
      <alignment vertical="center"/>
    </xf>
    <xf numFmtId="0" fontId="10" fillId="0" borderId="14" xfId="0" applyFont="1" applyBorder="1" applyAlignment="1">
      <alignment horizontal="center" vertical="center" wrapText="1"/>
    </xf>
    <xf numFmtId="167" fontId="11" fillId="0" borderId="44" xfId="0" applyNumberFormat="1" applyFont="1" applyBorder="1">
      <alignment vertical="top" wrapText="1"/>
    </xf>
    <xf numFmtId="167" fontId="11" fillId="0" borderId="45" xfId="0" applyNumberFormat="1" applyFont="1" applyBorder="1">
      <alignment vertical="top" wrapText="1"/>
    </xf>
    <xf numFmtId="167" fontId="11" fillId="0" borderId="46" xfId="0" applyNumberFormat="1" applyFont="1" applyBorder="1">
      <alignment vertical="top" wrapText="1"/>
    </xf>
    <xf numFmtId="167" fontId="11" fillId="0" borderId="42" xfId="0" applyNumberFormat="1" applyFont="1" applyBorder="1">
      <alignment vertical="top" wrapText="1"/>
    </xf>
    <xf numFmtId="167" fontId="11" fillId="0" borderId="0" xfId="0" applyNumberFormat="1" applyFont="1" applyBorder="1">
      <alignment vertical="top" wrapText="1"/>
    </xf>
    <xf numFmtId="164" fontId="11" fillId="0" borderId="47" xfId="0" applyNumberFormat="1" applyFont="1" applyBorder="1">
      <alignment vertical="top" wrapText="1"/>
    </xf>
    <xf numFmtId="0" fontId="11" fillId="0" borderId="48" xfId="0" applyFont="1" applyBorder="1">
      <alignment vertical="top" wrapText="1"/>
    </xf>
    <xf numFmtId="0" fontId="11" fillId="0" borderId="32" xfId="0" applyFont="1" applyBorder="1">
      <alignment vertical="top" wrapText="1"/>
    </xf>
    <xf numFmtId="167" fontId="11" fillId="0" borderId="35" xfId="0" applyNumberFormat="1" applyFont="1" applyBorder="1" applyAlignment="1">
      <alignment horizontal="center" vertical="center" wrapText="1"/>
    </xf>
    <xf numFmtId="167" fontId="11" fillId="0" borderId="23" xfId="0" applyNumberFormat="1" applyFont="1" applyBorder="1" applyAlignment="1">
      <alignment horizontal="center" vertical="center" wrapText="1"/>
    </xf>
    <xf numFmtId="0" fontId="11" fillId="0" borderId="19" xfId="0" applyFont="1" applyBorder="1">
      <alignment vertical="top" wrapText="1"/>
    </xf>
    <xf numFmtId="167" fontId="11" fillId="0" borderId="22" xfId="0" applyNumberFormat="1" applyFont="1" applyBorder="1" applyAlignment="1">
      <alignment horizontal="center" vertical="center" wrapText="1"/>
    </xf>
    <xf numFmtId="167" fontId="11" fillId="0" borderId="41" xfId="0" applyNumberFormat="1" applyFont="1" applyBorder="1" applyAlignment="1">
      <alignment horizontal="center" vertical="center" wrapText="1"/>
    </xf>
    <xf numFmtId="164" fontId="11" fillId="0" borderId="49" xfId="0" applyNumberFormat="1" applyFont="1" applyBorder="1">
      <alignment vertical="top" wrapText="1"/>
    </xf>
    <xf numFmtId="0" fontId="11" fillId="0" borderId="50" xfId="0" applyFont="1" applyBorder="1">
      <alignment vertical="top" wrapText="1"/>
    </xf>
    <xf numFmtId="0" fontId="11" fillId="0" borderId="24" xfId="0" applyFont="1" applyBorder="1">
      <alignment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0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1" fontId="1" fillId="6" borderId="2" xfId="0" applyNumberFormat="1" applyFont="1" applyFill="1" applyBorder="1" applyAlignment="1">
      <alignment horizontal="center" vertical="center"/>
    </xf>
    <xf numFmtId="1" fontId="1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7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2" formatCode="0.00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7" formatCode="yyyy\-mm\-dd;@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C5DEB5"/>
      <rgbColor rgb="FFFFF056"/>
      <rgbColor rgb="FFA9CD90"/>
      <rgbColor rgb="FFAAAAAA"/>
      <rgbColor rgb="FFE7E6E6"/>
      <rgbColor rgb="FF72FCE9"/>
      <rgbColor rgb="FFFF968C"/>
      <rgbColor rgb="FFDDDDDD"/>
      <rgbColor rgb="FF88F94E"/>
      <rgbColor rgb="FFD8D8D8"/>
      <rgbColor rgb="FFFFE265"/>
      <rgbColor rgb="FFD4D4D4"/>
      <rgbColor rgb="FFFF0000"/>
      <rgbColor rgb="FFF6BE98"/>
      <rgbColor rgb="FFF7CBAC"/>
      <rgbColor rgb="FF88E168"/>
      <rgbColor rgb="FF92D050"/>
      <rgbColor rgb="FFB0EB9A"/>
      <rgbColor rgb="FF7F7F7F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365"/>
      <color rgb="FFFF96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B19FC-0BD7-C84F-94C4-FC3CBB859F8F}" name="Expected_Blue_Lions" displayName="Expected_Blue_Lions" ref="A2:G14" totalsRowShown="0" headerRowDxfId="29" headerRowBorderDxfId="28" tableBorderDxfId="27">
  <autoFilter ref="A2:G14" xr:uid="{D65B19FC-0BD7-C84F-94C4-FC3CBB859F8F}"/>
  <tableColumns count="7">
    <tableColumn id="1" xr3:uid="{9D52E5DC-837E-0448-890C-7718ACCC2E99}" name="Date" dataDxfId="26"/>
    <tableColumn id="2" xr3:uid="{6F9505BC-7B14-4A4D-AB3D-96A8592529AA}" name="Quantity" dataDxfId="25"/>
    <tableColumn id="3" xr3:uid="{1122E8B2-20BA-4040-9182-C4606DC9DA15}" name="Amount" dataDxfId="24"/>
    <tableColumn id="4" xr3:uid="{AD0A1C34-12E8-ED40-973F-0C8C458B6224}" name="Category" dataDxfId="23"/>
    <tableColumn id="5" xr3:uid="{45C50475-6373-6E4F-90EE-8753D6BB2AEF}" name="Type" dataDxfId="22"/>
    <tableColumn id="6" xr3:uid="{6358E83A-FFAB-A942-B0E6-8E3BFE62D70A}" name="Club" dataDxfId="21"/>
    <tableColumn id="7" xr3:uid="{28CAE650-49C5-AB40-8453-8014486296A6}" name="Details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A8C562-23B6-F943-B7C8-134AB134EC7E}" name="Paid_Blue_Lions" displayName="Paid_Blue_Lions" ref="A19:G27" totalsRowShown="0" tableBorderDxfId="19">
  <autoFilter ref="A19:G27" xr:uid="{2CA8C562-23B6-F943-B7C8-134AB134EC7E}"/>
  <tableColumns count="7">
    <tableColumn id="1" xr3:uid="{7B8BA6CE-58F0-9346-B6C8-4675815CA24F}" name="Date" dataDxfId="18"/>
    <tableColumn id="2" xr3:uid="{D4AF354C-A27F-064C-8025-45875C04E7D6}" name="BENEF." dataDxfId="17"/>
    <tableColumn id="3" xr3:uid="{95EEF617-FFDC-F245-A050-273D3F563EAD}" name="Amount" dataDxfId="16"/>
    <tableColumn id="4" xr3:uid="{0F6BBBBA-E640-6746-8BE8-BC90CE8F0398}" name="Category" dataDxfId="15"/>
    <tableColumn id="5" xr3:uid="{157BFC90-F377-CE4D-A22B-F96A49E91A2E}" name="Type" dataDxfId="14"/>
    <tableColumn id="6" xr3:uid="{92F22325-CA59-8F49-A557-8E651259D206}" name="Club" dataDxfId="13"/>
    <tableColumn id="7" xr3:uid="{11094C27-0F98-BA4E-81D9-48E6D371878E}" name="Details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D557-90A8-F941-9D56-5D2B944FA30F}">
  <dimension ref="A1:H45"/>
  <sheetViews>
    <sheetView showGridLines="0" tabSelected="1" workbookViewId="0">
      <selection activeCell="F9" sqref="F9"/>
    </sheetView>
  </sheetViews>
  <sheetFormatPr baseColWidth="10" defaultRowHeight="18" x14ac:dyDescent="0.15"/>
  <cols>
    <col min="1" max="1" width="15.1640625" style="69" bestFit="1" customWidth="1"/>
    <col min="2" max="2" width="65" style="69" bestFit="1" customWidth="1"/>
    <col min="3" max="3" width="13.5" style="69" bestFit="1" customWidth="1"/>
    <col min="4" max="4" width="13.6640625" style="69" customWidth="1"/>
    <col min="5" max="5" width="12.1640625" style="69" bestFit="1" customWidth="1"/>
    <col min="6" max="6" width="16.5" style="69" bestFit="1" customWidth="1"/>
    <col min="7" max="7" width="17.33203125" style="69" customWidth="1"/>
    <col min="8" max="16384" width="10.83203125" style="69"/>
  </cols>
  <sheetData>
    <row r="1" spans="1:8" ht="19" thickBot="1" x14ac:dyDescent="0.2">
      <c r="A1" s="126" t="s">
        <v>80</v>
      </c>
      <c r="B1" s="127"/>
      <c r="C1" s="127"/>
      <c r="D1" s="127"/>
      <c r="E1" s="127"/>
      <c r="F1" s="127"/>
      <c r="G1" s="128"/>
    </row>
    <row r="2" spans="1:8" ht="20" thickBot="1" x14ac:dyDescent="0.2">
      <c r="A2" s="106" t="s">
        <v>81</v>
      </c>
      <c r="B2" s="97" t="s">
        <v>82</v>
      </c>
      <c r="C2" s="97" t="s">
        <v>54</v>
      </c>
      <c r="D2" s="97" t="s">
        <v>86</v>
      </c>
      <c r="E2" s="98" t="s">
        <v>83</v>
      </c>
      <c r="F2" s="97" t="s">
        <v>85</v>
      </c>
      <c r="G2" s="99" t="s">
        <v>79</v>
      </c>
    </row>
    <row r="3" spans="1:8" ht="19" x14ac:dyDescent="0.15">
      <c r="A3" s="107">
        <v>45900</v>
      </c>
      <c r="B3" s="70">
        <f>'AUGUST  2025'!B38</f>
        <v>3</v>
      </c>
      <c r="C3" s="71">
        <f>'AUGUST  2025'!B40</f>
        <v>90</v>
      </c>
      <c r="D3" s="72" t="s">
        <v>51</v>
      </c>
      <c r="E3" s="73" t="s">
        <v>84</v>
      </c>
      <c r="F3" s="72" t="s">
        <v>89</v>
      </c>
      <c r="G3" s="95"/>
    </row>
    <row r="4" spans="1:8" ht="19" x14ac:dyDescent="0.15">
      <c r="A4" s="108">
        <v>45930</v>
      </c>
      <c r="B4" s="74">
        <f>'SEPTEMBER 2025'!B37</f>
        <v>41.75</v>
      </c>
      <c r="C4" s="75">
        <f>'SEPTEMBER 2025'!B39</f>
        <v>1252.5</v>
      </c>
      <c r="D4" s="72" t="s">
        <v>51</v>
      </c>
      <c r="E4" s="73" t="s">
        <v>84</v>
      </c>
      <c r="F4" s="72" t="s">
        <v>89</v>
      </c>
      <c r="G4" s="96"/>
    </row>
    <row r="5" spans="1:8" ht="19" x14ac:dyDescent="0.15">
      <c r="A5" s="109">
        <v>45961</v>
      </c>
      <c r="B5" s="76">
        <f>'OCTOBER 2025'!B37</f>
        <v>36.25</v>
      </c>
      <c r="C5" s="75">
        <f>'OCTOBER 2025'!B39</f>
        <v>1087.5</v>
      </c>
      <c r="D5" s="72" t="s">
        <v>51</v>
      </c>
      <c r="E5" s="73" t="s">
        <v>84</v>
      </c>
      <c r="F5" s="72" t="s">
        <v>89</v>
      </c>
      <c r="G5" s="95"/>
    </row>
    <row r="6" spans="1:8" ht="19" x14ac:dyDescent="0.15">
      <c r="A6" s="108">
        <v>45991</v>
      </c>
      <c r="B6" s="74">
        <f>'NOVEMBER 2025'!B39</f>
        <v>30.5</v>
      </c>
      <c r="C6" s="75">
        <f>'NOVEMBER 2025'!B41</f>
        <v>915</v>
      </c>
      <c r="D6" s="72" t="s">
        <v>51</v>
      </c>
      <c r="E6" s="73" t="s">
        <v>84</v>
      </c>
      <c r="F6" s="72" t="s">
        <v>89</v>
      </c>
      <c r="G6" s="96"/>
    </row>
    <row r="7" spans="1:8" ht="19" x14ac:dyDescent="0.15">
      <c r="A7" s="108">
        <v>46022</v>
      </c>
      <c r="B7" s="74">
        <f>'DECEMBER 2025'!B43</f>
        <v>8</v>
      </c>
      <c r="C7" s="75">
        <f>'DECEMBER 2025'!B45</f>
        <v>240</v>
      </c>
      <c r="D7" s="72" t="s">
        <v>51</v>
      </c>
      <c r="E7" s="73" t="s">
        <v>84</v>
      </c>
      <c r="F7" s="72" t="s">
        <v>89</v>
      </c>
      <c r="G7" s="96"/>
    </row>
    <row r="8" spans="1:8" ht="19" x14ac:dyDescent="0.15">
      <c r="A8" s="108">
        <v>46053</v>
      </c>
      <c r="B8" s="74">
        <f>'JANUARY 2026'!B31</f>
        <v>0</v>
      </c>
      <c r="C8" s="75">
        <f>'JANUARY 2026'!B33</f>
        <v>0</v>
      </c>
      <c r="D8" s="72" t="s">
        <v>51</v>
      </c>
      <c r="E8" s="73" t="s">
        <v>84</v>
      </c>
      <c r="F8" s="72" t="s">
        <v>89</v>
      </c>
      <c r="G8" s="96"/>
    </row>
    <row r="9" spans="1:8" ht="19" x14ac:dyDescent="0.15">
      <c r="A9" s="108">
        <v>46081</v>
      </c>
      <c r="B9" s="74">
        <f>'FEBRUARY 2026'!B31</f>
        <v>5.5</v>
      </c>
      <c r="C9" s="75">
        <f>'FEBRUARY 2026'!B33</f>
        <v>165</v>
      </c>
      <c r="D9" s="72" t="s">
        <v>51</v>
      </c>
      <c r="E9" s="73" t="s">
        <v>84</v>
      </c>
      <c r="F9" s="72" t="s">
        <v>89</v>
      </c>
      <c r="G9" s="96"/>
    </row>
    <row r="10" spans="1:8" ht="19" x14ac:dyDescent="0.15">
      <c r="A10" s="109">
        <v>46112</v>
      </c>
      <c r="B10" s="76">
        <f>'MARCH 2026'!B39</f>
        <v>31.25</v>
      </c>
      <c r="C10" s="77">
        <f>'MARCH 2026'!B41</f>
        <v>937.5</v>
      </c>
      <c r="D10" s="72" t="s">
        <v>51</v>
      </c>
      <c r="E10" s="73" t="s">
        <v>84</v>
      </c>
      <c r="F10" s="72" t="s">
        <v>89</v>
      </c>
      <c r="G10" s="96"/>
    </row>
    <row r="11" spans="1:8" ht="19" x14ac:dyDescent="0.15">
      <c r="A11" s="110">
        <v>46142</v>
      </c>
      <c r="B11" s="76">
        <f>'APRIL 2026'!B39</f>
        <v>21.5</v>
      </c>
      <c r="C11" s="77">
        <f>'APRIL 2026'!B41</f>
        <v>645</v>
      </c>
      <c r="D11" s="72" t="s">
        <v>51</v>
      </c>
      <c r="E11" s="73" t="s">
        <v>84</v>
      </c>
      <c r="F11" s="72" t="s">
        <v>89</v>
      </c>
      <c r="G11" s="96"/>
    </row>
    <row r="12" spans="1:8" ht="19" x14ac:dyDescent="0.15">
      <c r="A12" s="110">
        <v>46173</v>
      </c>
      <c r="B12" s="76">
        <f>'MAY 2026'!B39</f>
        <v>43</v>
      </c>
      <c r="C12" s="77">
        <f>'MAY 2026'!B41</f>
        <v>1290</v>
      </c>
      <c r="D12" s="72" t="s">
        <v>51</v>
      </c>
      <c r="E12" s="73" t="s">
        <v>88</v>
      </c>
      <c r="F12" s="72" t="s">
        <v>89</v>
      </c>
      <c r="G12" s="96"/>
      <c r="H12" s="78"/>
    </row>
    <row r="13" spans="1:8" ht="19" x14ac:dyDescent="0.15">
      <c r="A13" s="110">
        <v>46203</v>
      </c>
      <c r="B13" s="76">
        <f>'JUNE 2026'!B39</f>
        <v>43</v>
      </c>
      <c r="C13" s="77">
        <f>'JUNE 2026'!B41</f>
        <v>1290</v>
      </c>
      <c r="D13" s="72" t="s">
        <v>51</v>
      </c>
      <c r="E13" s="73" t="s">
        <v>88</v>
      </c>
      <c r="F13" s="72" t="s">
        <v>89</v>
      </c>
      <c r="G13" s="96"/>
    </row>
    <row r="14" spans="1:8" ht="20" thickBot="1" x14ac:dyDescent="0.2">
      <c r="A14" s="111">
        <v>46234</v>
      </c>
      <c r="B14" s="76">
        <f>'JULY 2026'!B39</f>
        <v>0</v>
      </c>
      <c r="C14" s="77">
        <f>'JULY 2026'!B41</f>
        <v>0</v>
      </c>
      <c r="D14" s="112" t="s">
        <v>51</v>
      </c>
      <c r="E14" s="113" t="s">
        <v>88</v>
      </c>
      <c r="F14" s="112" t="s">
        <v>89</v>
      </c>
      <c r="G14" s="114"/>
    </row>
    <row r="15" spans="1:8" ht="20" thickBot="1" x14ac:dyDescent="0.2">
      <c r="A15" s="79" t="s">
        <v>4</v>
      </c>
      <c r="B15" s="80">
        <f>SUM(B3:B14)</f>
        <v>263.75</v>
      </c>
      <c r="C15" s="81">
        <f>SUMIF(E3:E14,"Expected",C3:C14)</f>
        <v>5332.5</v>
      </c>
      <c r="D15" s="82"/>
    </row>
    <row r="17" spans="1:7" ht="19" thickBot="1" x14ac:dyDescent="0.2"/>
    <row r="18" spans="1:7" ht="19" thickBot="1" x14ac:dyDescent="0.2">
      <c r="A18" s="123" t="s">
        <v>87</v>
      </c>
      <c r="B18" s="124"/>
      <c r="C18" s="124"/>
      <c r="D18" s="124"/>
      <c r="E18" s="124"/>
      <c r="F18" s="124"/>
      <c r="G18" s="125"/>
    </row>
    <row r="19" spans="1:7" ht="20" thickBot="1" x14ac:dyDescent="0.2">
      <c r="A19" s="100" t="s">
        <v>81</v>
      </c>
      <c r="B19" s="100" t="s">
        <v>53</v>
      </c>
      <c r="C19" s="101" t="s">
        <v>54</v>
      </c>
      <c r="D19" s="97" t="s">
        <v>86</v>
      </c>
      <c r="E19" s="98" t="s">
        <v>83</v>
      </c>
      <c r="F19" s="97" t="s">
        <v>85</v>
      </c>
      <c r="G19" s="98" t="s">
        <v>79</v>
      </c>
    </row>
    <row r="20" spans="1:7" ht="20" thickBot="1" x14ac:dyDescent="0.2">
      <c r="A20" s="115">
        <v>45967</v>
      </c>
      <c r="B20" s="83" t="s">
        <v>90</v>
      </c>
      <c r="C20" s="84">
        <v>2430</v>
      </c>
      <c r="D20" s="72" t="s">
        <v>51</v>
      </c>
      <c r="E20" s="73" t="s">
        <v>87</v>
      </c>
      <c r="F20" s="72" t="s">
        <v>89</v>
      </c>
      <c r="G20" s="73" t="s">
        <v>77</v>
      </c>
    </row>
    <row r="21" spans="1:7" ht="19" x14ac:dyDescent="0.15">
      <c r="A21" s="116">
        <v>45997</v>
      </c>
      <c r="B21" s="83" t="s">
        <v>90</v>
      </c>
      <c r="C21" s="86">
        <v>915</v>
      </c>
      <c r="D21" s="72" t="s">
        <v>51</v>
      </c>
      <c r="E21" s="73" t="s">
        <v>87</v>
      </c>
      <c r="F21" s="72" t="s">
        <v>89</v>
      </c>
      <c r="G21" s="117" t="s">
        <v>78</v>
      </c>
    </row>
    <row r="22" spans="1:7" x14ac:dyDescent="0.15">
      <c r="A22" s="116"/>
      <c r="B22" s="87"/>
      <c r="C22" s="71"/>
      <c r="D22" s="72"/>
      <c r="E22" s="73"/>
      <c r="F22" s="72"/>
      <c r="G22" s="73"/>
    </row>
    <row r="23" spans="1:7" x14ac:dyDescent="0.15">
      <c r="A23" s="116"/>
      <c r="B23" s="85"/>
      <c r="C23" s="86"/>
      <c r="D23" s="72"/>
      <c r="E23" s="73"/>
      <c r="F23" s="72"/>
      <c r="G23" s="117"/>
    </row>
    <row r="24" spans="1:7" x14ac:dyDescent="0.15">
      <c r="A24" s="116"/>
      <c r="B24" s="85"/>
      <c r="C24" s="86"/>
      <c r="D24" s="72"/>
      <c r="E24" s="73"/>
      <c r="F24" s="72"/>
      <c r="G24" s="117"/>
    </row>
    <row r="25" spans="1:7" x14ac:dyDescent="0.15">
      <c r="A25" s="116"/>
      <c r="B25" s="85"/>
      <c r="C25" s="86"/>
      <c r="D25" s="72"/>
      <c r="E25" s="73"/>
      <c r="F25" s="72"/>
      <c r="G25" s="117"/>
    </row>
    <row r="26" spans="1:7" x14ac:dyDescent="0.15">
      <c r="A26" s="118"/>
      <c r="B26" s="85"/>
      <c r="C26" s="86"/>
      <c r="D26" s="72"/>
      <c r="E26" s="73"/>
      <c r="F26" s="72"/>
      <c r="G26" s="117"/>
    </row>
    <row r="27" spans="1:7" ht="19" thickBot="1" x14ac:dyDescent="0.2">
      <c r="A27" s="119"/>
      <c r="B27" s="88"/>
      <c r="C27" s="89"/>
      <c r="D27" s="120"/>
      <c r="E27" s="121"/>
      <c r="F27" s="120"/>
      <c r="G27" s="122"/>
    </row>
    <row r="28" spans="1:7" ht="19" thickBot="1" x14ac:dyDescent="0.2">
      <c r="C28" s="90">
        <f>SUM(C20:C26)</f>
        <v>3345</v>
      </c>
    </row>
    <row r="30" spans="1:7" ht="19" thickBot="1" x14ac:dyDescent="0.2"/>
    <row r="31" spans="1:7" ht="20" thickBot="1" x14ac:dyDescent="0.2">
      <c r="A31" s="67" t="s">
        <v>55</v>
      </c>
      <c r="B31" s="68"/>
      <c r="C31" s="91">
        <f>C15-C28</f>
        <v>1987.5</v>
      </c>
      <c r="D31" s="92"/>
    </row>
    <row r="33" spans="3:4" x14ac:dyDescent="0.15">
      <c r="D33" s="93"/>
    </row>
    <row r="45" spans="3:4" x14ac:dyDescent="0.15">
      <c r="C45" s="94"/>
    </row>
  </sheetData>
  <mergeCells count="2">
    <mergeCell ref="A18:G18"/>
    <mergeCell ref="A1:G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84DE-A013-614F-8781-49970261AB68}">
  <sheetPr>
    <pageSetUpPr fitToPage="1"/>
  </sheetPr>
  <dimension ref="A1:I42"/>
  <sheetViews>
    <sheetView zoomScale="120" zoomScaleNormal="120" workbookViewId="0">
      <selection activeCell="B2" sqref="B2:I2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9" width="12.5" customWidth="1"/>
  </cols>
  <sheetData>
    <row r="1" spans="1:9" s="10" customFormat="1" ht="16" customHeight="1" thickBot="1" x14ac:dyDescent="0.2">
      <c r="A1" s="38" t="s">
        <v>2</v>
      </c>
      <c r="B1" s="7">
        <v>46085</v>
      </c>
      <c r="C1" s="8">
        <v>46087</v>
      </c>
      <c r="D1" s="8">
        <v>45973</v>
      </c>
      <c r="E1" s="8">
        <v>45975</v>
      </c>
      <c r="F1" s="8">
        <v>45973</v>
      </c>
      <c r="G1" s="8">
        <v>45975</v>
      </c>
      <c r="H1" s="8">
        <v>45973</v>
      </c>
      <c r="I1" s="8">
        <v>45975</v>
      </c>
    </row>
    <row r="2" spans="1:9" ht="26" customHeight="1" thickBot="1" x14ac:dyDescent="0.2">
      <c r="A2" s="61" t="s">
        <v>1</v>
      </c>
      <c r="B2" s="102" t="s">
        <v>5</v>
      </c>
      <c r="C2" s="103" t="s">
        <v>0</v>
      </c>
      <c r="D2" s="102" t="s">
        <v>5</v>
      </c>
      <c r="E2" s="103" t="s">
        <v>0</v>
      </c>
      <c r="F2" s="102" t="s">
        <v>5</v>
      </c>
      <c r="G2" s="103" t="s">
        <v>0</v>
      </c>
      <c r="H2" s="102" t="s">
        <v>5</v>
      </c>
      <c r="I2" s="103" t="s">
        <v>0</v>
      </c>
    </row>
    <row r="3" spans="1:9" ht="16" customHeight="1" x14ac:dyDescent="0.15">
      <c r="A3" s="62" t="s">
        <v>10</v>
      </c>
      <c r="B3" s="17"/>
      <c r="C3" s="18"/>
      <c r="D3" s="27"/>
      <c r="E3" s="29"/>
      <c r="F3" s="27"/>
      <c r="G3" s="29"/>
      <c r="H3" s="27"/>
      <c r="I3" s="29"/>
    </row>
    <row r="4" spans="1:9" ht="16" customHeight="1" x14ac:dyDescent="0.15">
      <c r="A4" s="63" t="s">
        <v>11</v>
      </c>
      <c r="B4" s="17"/>
      <c r="C4" s="19"/>
      <c r="D4" s="27"/>
      <c r="E4" s="18"/>
      <c r="F4" s="27"/>
      <c r="G4" s="18"/>
      <c r="H4" s="27"/>
      <c r="I4" s="18"/>
    </row>
    <row r="5" spans="1:9" ht="16" customHeight="1" x14ac:dyDescent="0.15">
      <c r="A5" s="63" t="s">
        <v>12</v>
      </c>
      <c r="B5" s="17"/>
      <c r="C5" s="19"/>
      <c r="D5" s="17"/>
      <c r="E5" s="19"/>
      <c r="F5" s="17"/>
      <c r="G5" s="19"/>
      <c r="H5" s="17"/>
      <c r="I5" s="19"/>
    </row>
    <row r="6" spans="1:9" ht="16" customHeight="1" x14ac:dyDescent="0.15">
      <c r="A6" s="63" t="s">
        <v>13</v>
      </c>
      <c r="B6" s="17"/>
      <c r="C6" s="19"/>
      <c r="D6" s="17"/>
      <c r="E6" s="19"/>
      <c r="F6" s="17"/>
      <c r="G6" s="19"/>
      <c r="H6" s="17"/>
      <c r="I6" s="19"/>
    </row>
    <row r="7" spans="1:9" ht="16" customHeight="1" x14ac:dyDescent="0.15">
      <c r="A7" s="64" t="s">
        <v>14</v>
      </c>
      <c r="B7" s="17"/>
      <c r="C7" s="19"/>
      <c r="D7" s="17"/>
      <c r="E7" s="19"/>
      <c r="F7" s="17"/>
      <c r="G7" s="19"/>
      <c r="H7" s="17"/>
      <c r="I7" s="19"/>
    </row>
    <row r="8" spans="1:9" ht="16" customHeight="1" x14ac:dyDescent="0.15">
      <c r="A8" s="64" t="s">
        <v>15</v>
      </c>
      <c r="B8" s="17"/>
      <c r="C8" s="19"/>
      <c r="D8" s="17"/>
      <c r="E8" s="19"/>
      <c r="F8" s="17"/>
      <c r="G8" s="19"/>
      <c r="H8" s="17"/>
      <c r="I8" s="19"/>
    </row>
    <row r="9" spans="1:9" ht="16" customHeight="1" x14ac:dyDescent="0.15">
      <c r="A9" s="64" t="s">
        <v>16</v>
      </c>
      <c r="B9" s="17"/>
      <c r="C9" s="19"/>
      <c r="D9" s="17"/>
      <c r="E9" s="19"/>
      <c r="F9" s="17"/>
      <c r="G9" s="19"/>
      <c r="H9" s="17"/>
      <c r="I9" s="19"/>
    </row>
    <row r="10" spans="1:9" ht="16" customHeight="1" x14ac:dyDescent="0.15">
      <c r="A10" s="64" t="s">
        <v>17</v>
      </c>
      <c r="B10" s="17"/>
      <c r="C10" s="19"/>
      <c r="D10" s="17"/>
      <c r="E10" s="19"/>
      <c r="F10" s="17"/>
      <c r="G10" s="19"/>
      <c r="H10" s="17"/>
      <c r="I10" s="19"/>
    </row>
    <row r="11" spans="1:9" ht="16" customHeight="1" x14ac:dyDescent="0.15">
      <c r="A11" s="64" t="s">
        <v>18</v>
      </c>
      <c r="B11" s="17"/>
      <c r="C11" s="19"/>
      <c r="D11" s="17"/>
      <c r="E11" s="19"/>
      <c r="F11" s="17"/>
      <c r="G11" s="19"/>
      <c r="H11" s="17"/>
      <c r="I11" s="19"/>
    </row>
    <row r="12" spans="1:9" ht="16" customHeight="1" x14ac:dyDescent="0.15">
      <c r="A12" s="64" t="s">
        <v>19</v>
      </c>
      <c r="B12" s="17"/>
      <c r="C12" s="19"/>
      <c r="D12" s="17"/>
      <c r="E12" s="19"/>
      <c r="F12" s="17"/>
      <c r="G12" s="19"/>
      <c r="H12" s="17"/>
      <c r="I12" s="19"/>
    </row>
    <row r="13" spans="1:9" ht="16" customHeight="1" x14ac:dyDescent="0.15">
      <c r="A13" s="64" t="s">
        <v>20</v>
      </c>
      <c r="B13" s="17"/>
      <c r="C13" s="19"/>
      <c r="D13" s="17"/>
      <c r="E13" s="19"/>
      <c r="F13" s="17"/>
      <c r="G13" s="19"/>
      <c r="H13" s="17"/>
      <c r="I13" s="19"/>
    </row>
    <row r="14" spans="1:9" ht="16" customHeight="1" x14ac:dyDescent="0.15">
      <c r="A14" s="64" t="s">
        <v>21</v>
      </c>
      <c r="B14" s="20"/>
      <c r="C14" s="19"/>
      <c r="D14" s="20"/>
      <c r="E14" s="19"/>
      <c r="F14" s="20"/>
      <c r="G14" s="19"/>
      <c r="H14" s="20"/>
      <c r="I14" s="19"/>
    </row>
    <row r="15" spans="1:9" ht="16" customHeight="1" x14ac:dyDescent="0.15">
      <c r="A15" s="64" t="s">
        <v>22</v>
      </c>
      <c r="B15" s="20"/>
      <c r="C15" s="19"/>
      <c r="D15" s="20"/>
      <c r="E15" s="19"/>
      <c r="F15" s="20"/>
      <c r="G15" s="19"/>
      <c r="H15" s="20"/>
      <c r="I15" s="19"/>
    </row>
    <row r="16" spans="1:9" ht="16" customHeight="1" x14ac:dyDescent="0.15">
      <c r="A16" s="64" t="s">
        <v>23</v>
      </c>
      <c r="B16" s="20"/>
      <c r="C16" s="19"/>
      <c r="D16" s="20"/>
      <c r="E16" s="19"/>
      <c r="F16" s="20"/>
      <c r="G16" s="19"/>
      <c r="H16" s="20"/>
      <c r="I16" s="19"/>
    </row>
    <row r="17" spans="1:9" ht="16" customHeight="1" x14ac:dyDescent="0.15">
      <c r="A17" s="64" t="s">
        <v>24</v>
      </c>
      <c r="B17" s="20"/>
      <c r="C17" s="19"/>
      <c r="D17" s="20"/>
      <c r="E17" s="19"/>
      <c r="F17" s="20"/>
      <c r="G17" s="19"/>
      <c r="H17" s="20"/>
      <c r="I17" s="19"/>
    </row>
    <row r="18" spans="1:9" ht="16" customHeight="1" x14ac:dyDescent="0.15">
      <c r="A18" s="64" t="s">
        <v>25</v>
      </c>
      <c r="B18" s="20"/>
      <c r="C18" s="19"/>
      <c r="D18" s="20"/>
      <c r="E18" s="19"/>
      <c r="F18" s="20"/>
      <c r="G18" s="19"/>
      <c r="H18" s="20"/>
      <c r="I18" s="19"/>
    </row>
    <row r="19" spans="1:9" ht="16" customHeight="1" x14ac:dyDescent="0.15">
      <c r="A19" s="64" t="s">
        <v>26</v>
      </c>
      <c r="B19" s="20"/>
      <c r="C19" s="19"/>
      <c r="D19" s="20"/>
      <c r="E19" s="19"/>
      <c r="F19" s="20"/>
      <c r="G19" s="19"/>
      <c r="H19" s="20"/>
      <c r="I19" s="19"/>
    </row>
    <row r="20" spans="1:9" ht="16" customHeight="1" x14ac:dyDescent="0.15">
      <c r="A20" s="64" t="s">
        <v>27</v>
      </c>
      <c r="B20" s="20"/>
      <c r="C20" s="19"/>
      <c r="D20" s="20"/>
      <c r="E20" s="19"/>
      <c r="F20" s="20"/>
      <c r="G20" s="19"/>
      <c r="H20" s="20"/>
      <c r="I20" s="19"/>
    </row>
    <row r="21" spans="1:9" ht="16" customHeight="1" x14ac:dyDescent="0.15">
      <c r="A21" s="64" t="s">
        <v>28</v>
      </c>
      <c r="B21" s="20"/>
      <c r="C21" s="19"/>
      <c r="D21" s="20"/>
      <c r="E21" s="19"/>
      <c r="F21" s="20"/>
      <c r="G21" s="19"/>
      <c r="H21" s="20"/>
      <c r="I21" s="19"/>
    </row>
    <row r="22" spans="1:9" ht="16" customHeight="1" x14ac:dyDescent="0.15">
      <c r="A22" s="64" t="s">
        <v>29</v>
      </c>
      <c r="B22" s="20"/>
      <c r="C22" s="19"/>
      <c r="D22" s="20"/>
      <c r="E22" s="19"/>
      <c r="F22" s="20"/>
      <c r="G22" s="19"/>
      <c r="H22" s="20"/>
      <c r="I22" s="19"/>
    </row>
    <row r="23" spans="1:9" ht="16" customHeight="1" x14ac:dyDescent="0.15">
      <c r="A23" s="64" t="s">
        <v>30</v>
      </c>
      <c r="B23" s="20"/>
      <c r="C23" s="19"/>
      <c r="D23" s="20"/>
      <c r="E23" s="19"/>
      <c r="F23" s="20"/>
      <c r="G23" s="19"/>
      <c r="H23" s="20"/>
      <c r="I23" s="19"/>
    </row>
    <row r="24" spans="1:9" ht="16" customHeight="1" x14ac:dyDescent="0.15">
      <c r="A24" s="64" t="s">
        <v>31</v>
      </c>
      <c r="B24" s="20"/>
      <c r="C24" s="19"/>
      <c r="D24" s="20"/>
      <c r="E24" s="19"/>
      <c r="F24" s="20"/>
      <c r="G24" s="19"/>
      <c r="H24" s="20"/>
      <c r="I24" s="19"/>
    </row>
    <row r="25" spans="1:9" ht="16" customHeight="1" x14ac:dyDescent="0.15">
      <c r="A25" s="64" t="s">
        <v>32</v>
      </c>
      <c r="B25" s="28"/>
      <c r="C25" s="19"/>
      <c r="D25" s="28"/>
      <c r="E25" s="19"/>
      <c r="F25" s="28"/>
      <c r="G25" s="19"/>
      <c r="H25" s="28"/>
      <c r="I25" s="19"/>
    </row>
    <row r="26" spans="1:9" ht="16" customHeight="1" x14ac:dyDescent="0.15">
      <c r="A26" s="64" t="s">
        <v>33</v>
      </c>
      <c r="B26" s="28"/>
      <c r="C26" s="19"/>
      <c r="D26" s="28"/>
      <c r="E26" s="19"/>
      <c r="F26" s="28"/>
      <c r="G26" s="19"/>
      <c r="H26" s="28"/>
      <c r="I26" s="19"/>
    </row>
    <row r="27" spans="1:9" ht="16" customHeight="1" x14ac:dyDescent="0.15">
      <c r="A27" s="64" t="s">
        <v>34</v>
      </c>
      <c r="B27" s="28"/>
      <c r="C27" s="19"/>
      <c r="D27" s="28"/>
      <c r="E27" s="19"/>
      <c r="F27" s="28"/>
      <c r="G27" s="19"/>
      <c r="H27" s="28"/>
      <c r="I27" s="19"/>
    </row>
    <row r="28" spans="1:9" ht="16" customHeight="1" x14ac:dyDescent="0.15">
      <c r="A28" s="64" t="s">
        <v>35</v>
      </c>
      <c r="B28" s="28"/>
      <c r="C28" s="19"/>
      <c r="D28" s="28"/>
      <c r="E28" s="19"/>
      <c r="F28" s="28"/>
      <c r="G28" s="19"/>
      <c r="H28" s="28"/>
      <c r="I28" s="19"/>
    </row>
    <row r="29" spans="1:9" ht="16" customHeight="1" x14ac:dyDescent="0.15">
      <c r="A29" s="64" t="s">
        <v>36</v>
      </c>
      <c r="B29" s="28"/>
      <c r="C29" s="19"/>
      <c r="D29" s="28"/>
      <c r="E29" s="19"/>
      <c r="F29" s="28"/>
      <c r="G29" s="19"/>
      <c r="H29" s="28"/>
      <c r="I29" s="19"/>
    </row>
    <row r="30" spans="1:9" ht="16" customHeight="1" x14ac:dyDescent="0.15">
      <c r="A30" s="63" t="s">
        <v>37</v>
      </c>
      <c r="B30" s="44"/>
      <c r="C30" s="19"/>
      <c r="D30" s="44"/>
      <c r="E30" s="19"/>
      <c r="F30" s="44"/>
      <c r="G30" s="19"/>
      <c r="H30" s="44"/>
      <c r="I30" s="19"/>
    </row>
    <row r="31" spans="1:9" ht="16" customHeight="1" x14ac:dyDescent="0.15">
      <c r="A31" s="63" t="s">
        <v>38</v>
      </c>
      <c r="B31" s="28"/>
      <c r="C31" s="25"/>
      <c r="D31" s="28"/>
      <c r="E31" s="25"/>
      <c r="F31" s="28"/>
      <c r="G31" s="25"/>
      <c r="H31" s="28"/>
      <c r="I31" s="25"/>
    </row>
    <row r="32" spans="1:9" ht="16" customHeight="1" x14ac:dyDescent="0.15">
      <c r="A32" s="65" t="s">
        <v>39</v>
      </c>
      <c r="B32" s="44"/>
      <c r="C32" s="25"/>
      <c r="D32" s="44"/>
      <c r="E32" s="25"/>
      <c r="F32" s="44"/>
      <c r="G32" s="25"/>
      <c r="H32" s="44"/>
      <c r="I32" s="25"/>
    </row>
    <row r="33" spans="1:9" ht="16" customHeight="1" x14ac:dyDescent="0.15">
      <c r="A33" s="63" t="s">
        <v>58</v>
      </c>
      <c r="B33" s="20"/>
      <c r="C33" s="19"/>
      <c r="D33" s="20"/>
      <c r="E33" s="19"/>
      <c r="F33" s="20"/>
      <c r="G33" s="19"/>
      <c r="H33" s="20"/>
      <c r="I33" s="19"/>
    </row>
    <row r="34" spans="1:9" ht="16" customHeight="1" thickBot="1" x14ac:dyDescent="0.2">
      <c r="A34" s="63" t="s">
        <v>59</v>
      </c>
      <c r="B34" s="66"/>
      <c r="C34" s="30"/>
      <c r="D34" s="24"/>
      <c r="E34" s="25"/>
      <c r="F34" s="24"/>
      <c r="G34" s="25"/>
      <c r="H34" s="24"/>
      <c r="I34" s="25"/>
    </row>
    <row r="35" spans="1:9" ht="16" customHeight="1" thickBot="1" x14ac:dyDescent="0.2">
      <c r="A35" s="48" t="s">
        <v>43</v>
      </c>
      <c r="B35" s="21">
        <f t="shared" ref="B35:I35" si="0">(COUNTA(B3:B32))/4</f>
        <v>0</v>
      </c>
      <c r="C35" s="21">
        <f t="shared" si="0"/>
        <v>0</v>
      </c>
      <c r="D35" s="21">
        <f t="shared" si="0"/>
        <v>0</v>
      </c>
      <c r="E35" s="21">
        <f t="shared" si="0"/>
        <v>0</v>
      </c>
      <c r="F35" s="21">
        <f t="shared" si="0"/>
        <v>0</v>
      </c>
      <c r="G35" s="21">
        <f t="shared" si="0"/>
        <v>0</v>
      </c>
      <c r="H35" s="21">
        <f t="shared" si="0"/>
        <v>0</v>
      </c>
      <c r="I35" s="21">
        <f t="shared" si="0"/>
        <v>0</v>
      </c>
    </row>
    <row r="36" spans="1:9" ht="16" customHeight="1" thickBot="1" x14ac:dyDescent="0.2">
      <c r="A36" s="22" t="s">
        <v>42</v>
      </c>
      <c r="B36" s="129">
        <f>B35+C35</f>
        <v>0</v>
      </c>
      <c r="C36" s="130"/>
      <c r="D36" s="129">
        <f>E35+D35</f>
        <v>0</v>
      </c>
      <c r="E36" s="130"/>
      <c r="F36" s="129">
        <f>G35+F35</f>
        <v>0</v>
      </c>
      <c r="G36" s="130"/>
      <c r="H36" s="129">
        <f>I35+H35</f>
        <v>0</v>
      </c>
      <c r="I36" s="130"/>
    </row>
    <row r="37" spans="1:9" ht="16" customHeight="1" thickBot="1" x14ac:dyDescent="0.2">
      <c r="A37" s="36" t="s">
        <v>50</v>
      </c>
      <c r="B37" s="131">
        <v>1</v>
      </c>
      <c r="C37" s="132"/>
      <c r="D37" s="131">
        <v>2</v>
      </c>
      <c r="E37" s="132"/>
      <c r="F37" s="131">
        <v>3</v>
      </c>
      <c r="G37" s="132"/>
      <c r="H37" s="131">
        <v>4</v>
      </c>
      <c r="I37" s="132"/>
    </row>
    <row r="38" spans="1:9" ht="16" customHeight="1" thickBot="1" x14ac:dyDescent="0.2"/>
    <row r="39" spans="1:9" ht="18" thickBot="1" x14ac:dyDescent="0.2">
      <c r="A39" s="32" t="s">
        <v>8</v>
      </c>
      <c r="B39" s="33">
        <f>SUM(B35:I35)</f>
        <v>0</v>
      </c>
      <c r="C39" s="14"/>
      <c r="D39" s="14"/>
      <c r="E39" s="14"/>
      <c r="F39" s="14"/>
      <c r="G39" s="14"/>
      <c r="H39" s="14"/>
      <c r="I39" s="14"/>
    </row>
    <row r="40" spans="1:9" ht="18" thickBot="1" x14ac:dyDescent="0.2">
      <c r="A40" s="34" t="s">
        <v>49</v>
      </c>
      <c r="B40" s="35">
        <v>30</v>
      </c>
      <c r="C40" s="1"/>
      <c r="D40" s="1"/>
      <c r="E40" s="1"/>
      <c r="F40" s="1"/>
      <c r="G40" s="1"/>
      <c r="H40" s="1"/>
      <c r="I40" s="1"/>
    </row>
    <row r="41" spans="1:9" ht="18" thickBot="1" x14ac:dyDescent="0.2">
      <c r="A41" s="3" t="s">
        <v>4</v>
      </c>
      <c r="B41" s="12">
        <f>B39*B40</f>
        <v>0</v>
      </c>
      <c r="C41" s="1"/>
    </row>
    <row r="42" spans="1:9" ht="16" customHeight="1" x14ac:dyDescent="0.15">
      <c r="A42" s="2"/>
      <c r="B42" s="2"/>
      <c r="C42" s="2"/>
    </row>
  </sheetData>
  <mergeCells count="8">
    <mergeCell ref="B36:C36"/>
    <mergeCell ref="D36:E36"/>
    <mergeCell ref="F36:G36"/>
    <mergeCell ref="H36:I36"/>
    <mergeCell ref="B37:C37"/>
    <mergeCell ref="D37:E37"/>
    <mergeCell ref="F37:G37"/>
    <mergeCell ref="H37:I37"/>
  </mergeCells>
  <conditionalFormatting sqref="B40:B41">
    <cfRule type="cellIs" dxfId="11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1B96-B006-E749-9A4F-6CDC2073AA9F}">
  <sheetPr>
    <pageSetUpPr fitToPage="1"/>
  </sheetPr>
  <dimension ref="A1:I42"/>
  <sheetViews>
    <sheetView showGridLines="0" zoomScale="120" zoomScaleNormal="120" workbookViewId="0">
      <selection activeCell="B4" sqref="B4:I34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9" width="12.5" customWidth="1"/>
  </cols>
  <sheetData>
    <row r="1" spans="1:9" s="10" customFormat="1" ht="16" customHeight="1" thickBot="1" x14ac:dyDescent="0.2">
      <c r="A1" s="38" t="s">
        <v>2</v>
      </c>
      <c r="B1" s="7">
        <v>46176</v>
      </c>
      <c r="C1" s="8">
        <v>46086</v>
      </c>
      <c r="D1" s="8">
        <v>46183</v>
      </c>
      <c r="E1" s="8">
        <v>46185</v>
      </c>
      <c r="F1" s="8">
        <v>46190</v>
      </c>
      <c r="G1" s="8">
        <v>46192</v>
      </c>
      <c r="H1" s="8">
        <v>46197</v>
      </c>
      <c r="I1" s="8">
        <v>46199</v>
      </c>
    </row>
    <row r="2" spans="1:9" ht="27" customHeight="1" thickBot="1" x14ac:dyDescent="0.2">
      <c r="A2" s="61" t="s">
        <v>1</v>
      </c>
      <c r="B2" s="102" t="s">
        <v>5</v>
      </c>
      <c r="C2" s="103" t="s">
        <v>0</v>
      </c>
      <c r="D2" s="102" t="s">
        <v>5</v>
      </c>
      <c r="E2" s="103" t="s">
        <v>0</v>
      </c>
      <c r="F2" s="102" t="s">
        <v>5</v>
      </c>
      <c r="G2" s="103" t="s">
        <v>0</v>
      </c>
      <c r="H2" s="102" t="s">
        <v>5</v>
      </c>
      <c r="I2" s="103" t="s">
        <v>0</v>
      </c>
    </row>
    <row r="3" spans="1:9" ht="16" customHeight="1" x14ac:dyDescent="0.15">
      <c r="A3" s="62" t="s">
        <v>10</v>
      </c>
      <c r="B3" s="27"/>
      <c r="C3" s="29"/>
      <c r="D3" s="27"/>
      <c r="E3" s="29"/>
      <c r="F3" s="27"/>
      <c r="G3" s="29"/>
      <c r="H3" s="27"/>
      <c r="I3" s="29"/>
    </row>
    <row r="4" spans="1:9" ht="16" customHeight="1" x14ac:dyDescent="0.15">
      <c r="A4" s="63" t="s">
        <v>11</v>
      </c>
      <c r="B4" s="27"/>
      <c r="C4" s="18"/>
      <c r="D4" s="27"/>
      <c r="E4" s="18"/>
      <c r="F4" s="27"/>
      <c r="G4" s="18"/>
      <c r="H4" s="27"/>
      <c r="I4" s="18"/>
    </row>
    <row r="5" spans="1:9" ht="16" customHeight="1" x14ac:dyDescent="0.15">
      <c r="A5" s="63" t="s">
        <v>12</v>
      </c>
      <c r="B5" s="17" t="s">
        <v>40</v>
      </c>
      <c r="C5" s="19"/>
      <c r="D5" s="17" t="s">
        <v>40</v>
      </c>
      <c r="E5" s="19"/>
      <c r="F5" s="17" t="s">
        <v>40</v>
      </c>
      <c r="G5" s="19"/>
      <c r="H5" s="17" t="s">
        <v>40</v>
      </c>
      <c r="I5" s="19"/>
    </row>
    <row r="6" spans="1:9" ht="16" customHeight="1" x14ac:dyDescent="0.15">
      <c r="A6" s="63" t="s">
        <v>13</v>
      </c>
      <c r="B6" s="17" t="s">
        <v>40</v>
      </c>
      <c r="C6" s="19"/>
      <c r="D6" s="17" t="s">
        <v>40</v>
      </c>
      <c r="E6" s="19"/>
      <c r="F6" s="17" t="s">
        <v>40</v>
      </c>
      <c r="G6" s="19"/>
      <c r="H6" s="17" t="s">
        <v>40</v>
      </c>
      <c r="I6" s="19"/>
    </row>
    <row r="7" spans="1:9" ht="16" customHeight="1" x14ac:dyDescent="0.15">
      <c r="A7" s="64" t="s">
        <v>14</v>
      </c>
      <c r="B7" s="17" t="s">
        <v>40</v>
      </c>
      <c r="C7" s="19"/>
      <c r="D7" s="17" t="s">
        <v>40</v>
      </c>
      <c r="E7" s="19"/>
      <c r="F7" s="17" t="s">
        <v>40</v>
      </c>
      <c r="G7" s="19"/>
      <c r="H7" s="17" t="s">
        <v>40</v>
      </c>
      <c r="I7" s="19"/>
    </row>
    <row r="8" spans="1:9" ht="16" customHeight="1" x14ac:dyDescent="0.15">
      <c r="A8" s="64" t="s">
        <v>15</v>
      </c>
      <c r="B8" s="17" t="s">
        <v>40</v>
      </c>
      <c r="C8" s="19"/>
      <c r="D8" s="17" t="s">
        <v>40</v>
      </c>
      <c r="E8" s="19"/>
      <c r="F8" s="17" t="s">
        <v>40</v>
      </c>
      <c r="G8" s="19"/>
      <c r="H8" s="17" t="s">
        <v>40</v>
      </c>
      <c r="I8" s="19"/>
    </row>
    <row r="9" spans="1:9" ht="16" customHeight="1" x14ac:dyDescent="0.15">
      <c r="A9" s="64" t="s">
        <v>16</v>
      </c>
      <c r="B9" s="17" t="s">
        <v>40</v>
      </c>
      <c r="C9" s="19"/>
      <c r="D9" s="17" t="s">
        <v>40</v>
      </c>
      <c r="E9" s="19"/>
      <c r="F9" s="17" t="s">
        <v>40</v>
      </c>
      <c r="G9" s="19"/>
      <c r="H9" s="17" t="s">
        <v>40</v>
      </c>
      <c r="I9" s="19"/>
    </row>
    <row r="10" spans="1:9" ht="16" customHeight="1" x14ac:dyDescent="0.15">
      <c r="A10" s="64" t="s">
        <v>17</v>
      </c>
      <c r="B10" s="17" t="s">
        <v>40</v>
      </c>
      <c r="C10" s="19"/>
      <c r="D10" s="17" t="s">
        <v>40</v>
      </c>
      <c r="E10" s="19"/>
      <c r="F10" s="17" t="s">
        <v>40</v>
      </c>
      <c r="G10" s="19"/>
      <c r="H10" s="17" t="s">
        <v>40</v>
      </c>
      <c r="I10" s="19"/>
    </row>
    <row r="11" spans="1:9" ht="16" customHeight="1" x14ac:dyDescent="0.15">
      <c r="A11" s="64" t="s">
        <v>18</v>
      </c>
      <c r="B11" s="17" t="s">
        <v>40</v>
      </c>
      <c r="C11" s="19"/>
      <c r="D11" s="17" t="s">
        <v>40</v>
      </c>
      <c r="E11" s="19"/>
      <c r="F11" s="17" t="s">
        <v>40</v>
      </c>
      <c r="G11" s="19"/>
      <c r="H11" s="17" t="s">
        <v>40</v>
      </c>
      <c r="I11" s="19"/>
    </row>
    <row r="12" spans="1:9" ht="16" customHeight="1" x14ac:dyDescent="0.15">
      <c r="A12" s="64" t="s">
        <v>19</v>
      </c>
      <c r="B12" s="17" t="s">
        <v>40</v>
      </c>
      <c r="C12" s="19"/>
      <c r="D12" s="17" t="s">
        <v>40</v>
      </c>
      <c r="E12" s="19"/>
      <c r="F12" s="17" t="s">
        <v>40</v>
      </c>
      <c r="G12" s="19"/>
      <c r="H12" s="17" t="s">
        <v>40</v>
      </c>
      <c r="I12" s="19"/>
    </row>
    <row r="13" spans="1:9" ht="16" customHeight="1" x14ac:dyDescent="0.15">
      <c r="A13" s="64" t="s">
        <v>20</v>
      </c>
      <c r="B13" s="17" t="s">
        <v>40</v>
      </c>
      <c r="C13" s="19"/>
      <c r="D13" s="17" t="s">
        <v>40</v>
      </c>
      <c r="E13" s="19"/>
      <c r="F13" s="17" t="s">
        <v>40</v>
      </c>
      <c r="G13" s="19"/>
      <c r="H13" s="17" t="s">
        <v>40</v>
      </c>
      <c r="I13" s="19"/>
    </row>
    <row r="14" spans="1:9" ht="16" customHeight="1" x14ac:dyDescent="0.15">
      <c r="A14" s="64" t="s">
        <v>21</v>
      </c>
      <c r="B14" s="20" t="s">
        <v>76</v>
      </c>
      <c r="C14" s="19"/>
      <c r="D14" s="20" t="s">
        <v>76</v>
      </c>
      <c r="E14" s="19"/>
      <c r="F14" s="20" t="s">
        <v>76</v>
      </c>
      <c r="G14" s="19"/>
      <c r="H14" s="20" t="s">
        <v>76</v>
      </c>
      <c r="I14" s="19"/>
    </row>
    <row r="15" spans="1:9" ht="16" customHeight="1" x14ac:dyDescent="0.15">
      <c r="A15" s="64" t="s">
        <v>22</v>
      </c>
      <c r="B15" s="20" t="s">
        <v>76</v>
      </c>
      <c r="C15" s="19"/>
      <c r="D15" s="20" t="s">
        <v>76</v>
      </c>
      <c r="E15" s="19"/>
      <c r="F15" s="20" t="s">
        <v>76</v>
      </c>
      <c r="G15" s="19"/>
      <c r="H15" s="20" t="s">
        <v>76</v>
      </c>
      <c r="I15" s="19"/>
    </row>
    <row r="16" spans="1:9" ht="16" customHeight="1" x14ac:dyDescent="0.15">
      <c r="A16" s="64" t="s">
        <v>23</v>
      </c>
      <c r="B16" s="20" t="s">
        <v>76</v>
      </c>
      <c r="C16" s="19"/>
      <c r="D16" s="20" t="s">
        <v>76</v>
      </c>
      <c r="E16" s="19"/>
      <c r="F16" s="20" t="s">
        <v>76</v>
      </c>
      <c r="G16" s="19"/>
      <c r="H16" s="20" t="s">
        <v>76</v>
      </c>
      <c r="I16" s="19"/>
    </row>
    <row r="17" spans="1:9" ht="16" customHeight="1" x14ac:dyDescent="0.15">
      <c r="A17" s="64" t="s">
        <v>24</v>
      </c>
      <c r="B17" s="20" t="s">
        <v>76</v>
      </c>
      <c r="C17" s="19" t="s">
        <v>71</v>
      </c>
      <c r="D17" s="20" t="s">
        <v>76</v>
      </c>
      <c r="E17" s="19" t="s">
        <v>71</v>
      </c>
      <c r="F17" s="20" t="s">
        <v>76</v>
      </c>
      <c r="G17" s="19" t="s">
        <v>71</v>
      </c>
      <c r="H17" s="20" t="s">
        <v>76</v>
      </c>
      <c r="I17" s="19" t="s">
        <v>71</v>
      </c>
    </row>
    <row r="18" spans="1:9" ht="16" customHeight="1" x14ac:dyDescent="0.15">
      <c r="A18" s="64" t="s">
        <v>25</v>
      </c>
      <c r="B18" s="20" t="s">
        <v>76</v>
      </c>
      <c r="C18" s="19" t="s">
        <v>71</v>
      </c>
      <c r="D18" s="20" t="s">
        <v>76</v>
      </c>
      <c r="E18" s="19" t="s">
        <v>71</v>
      </c>
      <c r="F18" s="20" t="s">
        <v>76</v>
      </c>
      <c r="G18" s="19" t="s">
        <v>71</v>
      </c>
      <c r="H18" s="20" t="s">
        <v>76</v>
      </c>
      <c r="I18" s="19" t="s">
        <v>71</v>
      </c>
    </row>
    <row r="19" spans="1:9" ht="16" customHeight="1" x14ac:dyDescent="0.15">
      <c r="A19" s="64" t="s">
        <v>26</v>
      </c>
      <c r="B19" s="20" t="s">
        <v>76</v>
      </c>
      <c r="C19" s="19" t="s">
        <v>71</v>
      </c>
      <c r="D19" s="20" t="s">
        <v>76</v>
      </c>
      <c r="E19" s="19" t="s">
        <v>71</v>
      </c>
      <c r="F19" s="20" t="s">
        <v>76</v>
      </c>
      <c r="G19" s="19" t="s">
        <v>71</v>
      </c>
      <c r="H19" s="20" t="s">
        <v>76</v>
      </c>
      <c r="I19" s="19" t="s">
        <v>71</v>
      </c>
    </row>
    <row r="20" spans="1:9" ht="16" customHeight="1" x14ac:dyDescent="0.15">
      <c r="A20" s="64" t="s">
        <v>27</v>
      </c>
      <c r="B20" s="20" t="s">
        <v>76</v>
      </c>
      <c r="C20" s="19" t="s">
        <v>71</v>
      </c>
      <c r="D20" s="20" t="s">
        <v>76</v>
      </c>
      <c r="E20" s="19" t="s">
        <v>71</v>
      </c>
      <c r="F20" s="20" t="s">
        <v>76</v>
      </c>
      <c r="G20" s="19" t="s">
        <v>71</v>
      </c>
      <c r="H20" s="20" t="s">
        <v>76</v>
      </c>
      <c r="I20" s="19" t="s">
        <v>71</v>
      </c>
    </row>
    <row r="21" spans="1:9" ht="16" customHeight="1" x14ac:dyDescent="0.15">
      <c r="A21" s="64" t="s">
        <v>28</v>
      </c>
      <c r="B21" s="20" t="s">
        <v>76</v>
      </c>
      <c r="C21" s="19" t="s">
        <v>71</v>
      </c>
      <c r="D21" s="20" t="s">
        <v>76</v>
      </c>
      <c r="E21" s="19" t="s">
        <v>71</v>
      </c>
      <c r="F21" s="20" t="s">
        <v>76</v>
      </c>
      <c r="G21" s="19" t="s">
        <v>71</v>
      </c>
      <c r="H21" s="20" t="s">
        <v>76</v>
      </c>
      <c r="I21" s="19" t="s">
        <v>71</v>
      </c>
    </row>
    <row r="22" spans="1:9" ht="16" customHeight="1" x14ac:dyDescent="0.15">
      <c r="A22" s="64" t="s">
        <v>29</v>
      </c>
      <c r="B22" s="20" t="s">
        <v>76</v>
      </c>
      <c r="C22" s="19" t="s">
        <v>48</v>
      </c>
      <c r="D22" s="20" t="s">
        <v>76</v>
      </c>
      <c r="E22" s="19" t="s">
        <v>48</v>
      </c>
      <c r="F22" s="20" t="s">
        <v>76</v>
      </c>
      <c r="G22" s="19" t="s">
        <v>48</v>
      </c>
      <c r="H22" s="20" t="s">
        <v>76</v>
      </c>
      <c r="I22" s="19" t="s">
        <v>48</v>
      </c>
    </row>
    <row r="23" spans="1:9" ht="16" customHeight="1" x14ac:dyDescent="0.15">
      <c r="A23" s="64" t="s">
        <v>30</v>
      </c>
      <c r="B23" s="20" t="s">
        <v>76</v>
      </c>
      <c r="C23" s="19" t="s">
        <v>48</v>
      </c>
      <c r="D23" s="20" t="s">
        <v>76</v>
      </c>
      <c r="E23" s="19" t="s">
        <v>48</v>
      </c>
      <c r="F23" s="20" t="s">
        <v>76</v>
      </c>
      <c r="G23" s="19" t="s">
        <v>48</v>
      </c>
      <c r="H23" s="20" t="s">
        <v>76</v>
      </c>
      <c r="I23" s="19" t="s">
        <v>48</v>
      </c>
    </row>
    <row r="24" spans="1:9" ht="16" customHeight="1" x14ac:dyDescent="0.15">
      <c r="A24" s="64" t="s">
        <v>31</v>
      </c>
      <c r="B24" s="20" t="s">
        <v>76</v>
      </c>
      <c r="C24" s="19" t="s">
        <v>48</v>
      </c>
      <c r="D24" s="20" t="s">
        <v>76</v>
      </c>
      <c r="E24" s="19" t="s">
        <v>48</v>
      </c>
      <c r="F24" s="20" t="s">
        <v>76</v>
      </c>
      <c r="G24" s="19" t="s">
        <v>48</v>
      </c>
      <c r="H24" s="20" t="s">
        <v>76</v>
      </c>
      <c r="I24" s="19" t="s">
        <v>48</v>
      </c>
    </row>
    <row r="25" spans="1:9" ht="16" customHeight="1" x14ac:dyDescent="0.15">
      <c r="A25" s="64" t="s">
        <v>32</v>
      </c>
      <c r="B25" s="28" t="s">
        <v>76</v>
      </c>
      <c r="C25" s="19" t="s">
        <v>48</v>
      </c>
      <c r="D25" s="28" t="s">
        <v>76</v>
      </c>
      <c r="E25" s="19" t="s">
        <v>48</v>
      </c>
      <c r="F25" s="28" t="s">
        <v>76</v>
      </c>
      <c r="G25" s="19" t="s">
        <v>48</v>
      </c>
      <c r="H25" s="28" t="s">
        <v>76</v>
      </c>
      <c r="I25" s="19" t="s">
        <v>48</v>
      </c>
    </row>
    <row r="26" spans="1:9" ht="16" customHeight="1" x14ac:dyDescent="0.15">
      <c r="A26" s="64" t="s">
        <v>33</v>
      </c>
      <c r="B26" s="28" t="s">
        <v>76</v>
      </c>
      <c r="C26" s="19" t="s">
        <v>48</v>
      </c>
      <c r="D26" s="28" t="s">
        <v>76</v>
      </c>
      <c r="E26" s="19" t="s">
        <v>48</v>
      </c>
      <c r="F26" s="28" t="s">
        <v>76</v>
      </c>
      <c r="G26" s="19" t="s">
        <v>48</v>
      </c>
      <c r="H26" s="28" t="s">
        <v>76</v>
      </c>
      <c r="I26" s="19" t="s">
        <v>48</v>
      </c>
    </row>
    <row r="27" spans="1:9" ht="16" customHeight="1" x14ac:dyDescent="0.15">
      <c r="A27" s="64" t="s">
        <v>34</v>
      </c>
      <c r="B27" s="28" t="s">
        <v>46</v>
      </c>
      <c r="C27" s="19" t="s">
        <v>46</v>
      </c>
      <c r="D27" s="28" t="s">
        <v>46</v>
      </c>
      <c r="E27" s="19" t="s">
        <v>46</v>
      </c>
      <c r="F27" s="28" t="s">
        <v>46</v>
      </c>
      <c r="G27" s="19" t="s">
        <v>46</v>
      </c>
      <c r="H27" s="28" t="s">
        <v>46</v>
      </c>
      <c r="I27" s="19" t="s">
        <v>46</v>
      </c>
    </row>
    <row r="28" spans="1:9" ht="16" customHeight="1" x14ac:dyDescent="0.15">
      <c r="A28" s="64" t="s">
        <v>35</v>
      </c>
      <c r="B28" s="28" t="s">
        <v>46</v>
      </c>
      <c r="C28" s="19" t="s">
        <v>46</v>
      </c>
      <c r="D28" s="28" t="s">
        <v>46</v>
      </c>
      <c r="E28" s="19" t="s">
        <v>46</v>
      </c>
      <c r="F28" s="28" t="s">
        <v>46</v>
      </c>
      <c r="G28" s="19" t="s">
        <v>46</v>
      </c>
      <c r="H28" s="28" t="s">
        <v>46</v>
      </c>
      <c r="I28" s="19" t="s">
        <v>46</v>
      </c>
    </row>
    <row r="29" spans="1:9" ht="16" customHeight="1" x14ac:dyDescent="0.15">
      <c r="A29" s="64" t="s">
        <v>36</v>
      </c>
      <c r="B29" s="28" t="s">
        <v>46</v>
      </c>
      <c r="C29" s="19" t="s">
        <v>46</v>
      </c>
      <c r="D29" s="28" t="s">
        <v>46</v>
      </c>
      <c r="E29" s="19" t="s">
        <v>46</v>
      </c>
      <c r="F29" s="28" t="s">
        <v>46</v>
      </c>
      <c r="G29" s="19" t="s">
        <v>46</v>
      </c>
      <c r="H29" s="28" t="s">
        <v>46</v>
      </c>
      <c r="I29" s="19" t="s">
        <v>46</v>
      </c>
    </row>
    <row r="30" spans="1:9" ht="16" customHeight="1" x14ac:dyDescent="0.15">
      <c r="A30" s="63" t="s">
        <v>37</v>
      </c>
      <c r="B30" s="44" t="s">
        <v>46</v>
      </c>
      <c r="C30" s="19" t="s">
        <v>46</v>
      </c>
      <c r="D30" s="44" t="s">
        <v>46</v>
      </c>
      <c r="E30" s="19" t="s">
        <v>46</v>
      </c>
      <c r="F30" s="44" t="s">
        <v>46</v>
      </c>
      <c r="G30" s="19" t="s">
        <v>46</v>
      </c>
      <c r="H30" s="44" t="s">
        <v>46</v>
      </c>
      <c r="I30" s="19" t="s">
        <v>46</v>
      </c>
    </row>
    <row r="31" spans="1:9" ht="16" customHeight="1" x14ac:dyDescent="0.15">
      <c r="A31" s="63" t="s">
        <v>38</v>
      </c>
      <c r="B31" s="28" t="s">
        <v>46</v>
      </c>
      <c r="C31" s="25" t="s">
        <v>46</v>
      </c>
      <c r="D31" s="28" t="s">
        <v>46</v>
      </c>
      <c r="E31" s="25" t="s">
        <v>46</v>
      </c>
      <c r="F31" s="28" t="s">
        <v>46</v>
      </c>
      <c r="G31" s="25" t="s">
        <v>46</v>
      </c>
      <c r="H31" s="28" t="s">
        <v>46</v>
      </c>
      <c r="I31" s="25" t="s">
        <v>46</v>
      </c>
    </row>
    <row r="32" spans="1:9" ht="16" customHeight="1" x14ac:dyDescent="0.15">
      <c r="A32" s="65" t="s">
        <v>39</v>
      </c>
      <c r="B32" s="44"/>
      <c r="C32" s="25" t="s">
        <v>46</v>
      </c>
      <c r="D32" s="44"/>
      <c r="E32" s="25" t="s">
        <v>46</v>
      </c>
      <c r="F32" s="44"/>
      <c r="G32" s="25" t="s">
        <v>46</v>
      </c>
      <c r="H32" s="44"/>
      <c r="I32" s="25" t="s">
        <v>46</v>
      </c>
    </row>
    <row r="33" spans="1:9" ht="16" customHeight="1" x14ac:dyDescent="0.15">
      <c r="A33" s="63" t="s">
        <v>58</v>
      </c>
      <c r="B33" s="20"/>
      <c r="C33" s="19"/>
      <c r="D33" s="20"/>
      <c r="E33" s="19"/>
      <c r="F33" s="20"/>
      <c r="G33" s="19"/>
      <c r="H33" s="20"/>
      <c r="I33" s="19"/>
    </row>
    <row r="34" spans="1:9" ht="16" customHeight="1" thickBot="1" x14ac:dyDescent="0.2">
      <c r="A34" s="63" t="s">
        <v>59</v>
      </c>
      <c r="B34" s="24"/>
      <c r="C34" s="25"/>
      <c r="D34" s="24"/>
      <c r="E34" s="25"/>
      <c r="F34" s="24"/>
      <c r="G34" s="25"/>
      <c r="H34" s="24"/>
      <c r="I34" s="25"/>
    </row>
    <row r="35" spans="1:9" ht="16" customHeight="1" thickBot="1" x14ac:dyDescent="0.2">
      <c r="A35" s="48" t="s">
        <v>43</v>
      </c>
      <c r="B35" s="21">
        <f t="shared" ref="B35:I35" si="0">(COUNTA(B3:B32))/4</f>
        <v>6.75</v>
      </c>
      <c r="C35" s="21">
        <f t="shared" si="0"/>
        <v>4</v>
      </c>
      <c r="D35" s="21">
        <f t="shared" si="0"/>
        <v>6.75</v>
      </c>
      <c r="E35" s="21">
        <f t="shared" si="0"/>
        <v>4</v>
      </c>
      <c r="F35" s="21">
        <f t="shared" si="0"/>
        <v>6.75</v>
      </c>
      <c r="G35" s="21">
        <f t="shared" si="0"/>
        <v>4</v>
      </c>
      <c r="H35" s="21">
        <f t="shared" si="0"/>
        <v>6.75</v>
      </c>
      <c r="I35" s="21">
        <f t="shared" si="0"/>
        <v>4</v>
      </c>
    </row>
    <row r="36" spans="1:9" ht="16" customHeight="1" thickBot="1" x14ac:dyDescent="0.2">
      <c r="A36" s="22" t="s">
        <v>42</v>
      </c>
      <c r="B36" s="129">
        <f>B35+C35</f>
        <v>10.75</v>
      </c>
      <c r="C36" s="130"/>
      <c r="D36" s="129">
        <f>E35+D35</f>
        <v>10.75</v>
      </c>
      <c r="E36" s="130"/>
      <c r="F36" s="129">
        <f>G35+F35</f>
        <v>10.75</v>
      </c>
      <c r="G36" s="130"/>
      <c r="H36" s="129">
        <f>I35+H35</f>
        <v>10.75</v>
      </c>
      <c r="I36" s="130"/>
    </row>
    <row r="37" spans="1:9" ht="16" customHeight="1" thickBot="1" x14ac:dyDescent="0.2">
      <c r="A37" s="36" t="s">
        <v>50</v>
      </c>
      <c r="B37" s="131">
        <v>1</v>
      </c>
      <c r="C37" s="132"/>
      <c r="D37" s="131">
        <v>2</v>
      </c>
      <c r="E37" s="132"/>
      <c r="F37" s="131">
        <v>3</v>
      </c>
      <c r="G37" s="132"/>
      <c r="H37" s="131">
        <v>4</v>
      </c>
      <c r="I37" s="132"/>
    </row>
    <row r="38" spans="1:9" ht="16" customHeight="1" thickBot="1" x14ac:dyDescent="0.2"/>
    <row r="39" spans="1:9" ht="18" thickBot="1" x14ac:dyDescent="0.2">
      <c r="A39" s="32" t="s">
        <v>8</v>
      </c>
      <c r="B39" s="33">
        <f>SUM(B35:I35)</f>
        <v>43</v>
      </c>
      <c r="C39" s="14"/>
      <c r="D39" s="14"/>
      <c r="E39" s="14"/>
      <c r="F39" s="14"/>
      <c r="G39" s="14"/>
      <c r="H39" s="14"/>
      <c r="I39" s="14"/>
    </row>
    <row r="40" spans="1:9" ht="18" thickBot="1" x14ac:dyDescent="0.2">
      <c r="A40" s="34" t="s">
        <v>49</v>
      </c>
      <c r="B40" s="35">
        <v>30</v>
      </c>
      <c r="C40" s="1"/>
      <c r="D40" s="1"/>
      <c r="E40" s="1"/>
      <c r="F40" s="1"/>
      <c r="G40" s="1"/>
      <c r="H40" s="1"/>
      <c r="I40" s="1"/>
    </row>
    <row r="41" spans="1:9" ht="18" thickBot="1" x14ac:dyDescent="0.2">
      <c r="A41" s="3" t="s">
        <v>4</v>
      </c>
      <c r="B41" s="12">
        <f>B39*B40</f>
        <v>1290</v>
      </c>
      <c r="C41" s="1"/>
    </row>
    <row r="42" spans="1:9" ht="16" customHeight="1" x14ac:dyDescent="0.15">
      <c r="A42" s="2"/>
      <c r="B42" s="2"/>
      <c r="C42" s="2"/>
    </row>
  </sheetData>
  <mergeCells count="8">
    <mergeCell ref="B36:C36"/>
    <mergeCell ref="D36:E36"/>
    <mergeCell ref="F36:G36"/>
    <mergeCell ref="H36:I36"/>
    <mergeCell ref="B37:C37"/>
    <mergeCell ref="D37:E37"/>
    <mergeCell ref="F37:G37"/>
    <mergeCell ref="H37:I37"/>
  </mergeCells>
  <conditionalFormatting sqref="B40:B41">
    <cfRule type="cellIs" dxfId="10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E51B-5251-1D4B-BF6B-A7419293C225}">
  <sheetPr>
    <pageSetUpPr fitToPage="1"/>
  </sheetPr>
  <dimension ref="A1:I42"/>
  <sheetViews>
    <sheetView showGridLines="0" zoomScale="120" zoomScaleNormal="120" workbookViewId="0">
      <selection activeCell="B4" sqref="B4:I34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9" width="12.5" customWidth="1"/>
  </cols>
  <sheetData>
    <row r="1" spans="1:9" s="10" customFormat="1" ht="16" customHeight="1" thickBot="1" x14ac:dyDescent="0.2">
      <c r="A1" s="38" t="s">
        <v>2</v>
      </c>
      <c r="B1" s="7">
        <v>46148</v>
      </c>
      <c r="C1" s="8">
        <v>46150</v>
      </c>
      <c r="D1" s="8">
        <v>46155</v>
      </c>
      <c r="E1" s="8">
        <v>46157</v>
      </c>
      <c r="F1" s="8">
        <v>46162</v>
      </c>
      <c r="G1" s="8">
        <v>46164</v>
      </c>
      <c r="H1" s="8">
        <v>46169</v>
      </c>
      <c r="I1" s="8">
        <v>46171</v>
      </c>
    </row>
    <row r="2" spans="1:9" ht="25" customHeight="1" thickBot="1" x14ac:dyDescent="0.2">
      <c r="A2" s="61" t="s">
        <v>1</v>
      </c>
      <c r="B2" s="102" t="s">
        <v>5</v>
      </c>
      <c r="C2" s="103" t="s">
        <v>0</v>
      </c>
      <c r="D2" s="102" t="s">
        <v>5</v>
      </c>
      <c r="E2" s="103" t="s">
        <v>0</v>
      </c>
      <c r="F2" s="102" t="s">
        <v>5</v>
      </c>
      <c r="G2" s="103" t="s">
        <v>0</v>
      </c>
      <c r="H2" s="102" t="s">
        <v>5</v>
      </c>
      <c r="I2" s="103" t="s">
        <v>0</v>
      </c>
    </row>
    <row r="3" spans="1:9" ht="16" customHeight="1" x14ac:dyDescent="0.15">
      <c r="A3" s="62" t="s">
        <v>10</v>
      </c>
      <c r="B3" s="27"/>
      <c r="C3" s="29"/>
      <c r="D3" s="27"/>
      <c r="E3" s="29"/>
      <c r="F3" s="27"/>
      <c r="G3" s="29"/>
      <c r="H3" s="27"/>
      <c r="I3" s="29"/>
    </row>
    <row r="4" spans="1:9" ht="16" customHeight="1" x14ac:dyDescent="0.15">
      <c r="A4" s="63" t="s">
        <v>11</v>
      </c>
      <c r="B4" s="27"/>
      <c r="C4" s="18"/>
      <c r="D4" s="27"/>
      <c r="E4" s="18"/>
      <c r="F4" s="27"/>
      <c r="G4" s="18"/>
      <c r="H4" s="27"/>
      <c r="I4" s="18"/>
    </row>
    <row r="5" spans="1:9" ht="16" customHeight="1" x14ac:dyDescent="0.15">
      <c r="A5" s="63" t="s">
        <v>12</v>
      </c>
      <c r="B5" s="17" t="s">
        <v>40</v>
      </c>
      <c r="C5" s="19"/>
      <c r="D5" s="17" t="s">
        <v>40</v>
      </c>
      <c r="E5" s="19"/>
      <c r="F5" s="17" t="s">
        <v>40</v>
      </c>
      <c r="G5" s="19"/>
      <c r="H5" s="17" t="s">
        <v>40</v>
      </c>
      <c r="I5" s="19"/>
    </row>
    <row r="6" spans="1:9" ht="16" customHeight="1" x14ac:dyDescent="0.15">
      <c r="A6" s="63" t="s">
        <v>13</v>
      </c>
      <c r="B6" s="17" t="s">
        <v>40</v>
      </c>
      <c r="C6" s="19"/>
      <c r="D6" s="17" t="s">
        <v>40</v>
      </c>
      <c r="E6" s="19"/>
      <c r="F6" s="17" t="s">
        <v>40</v>
      </c>
      <c r="G6" s="19"/>
      <c r="H6" s="17" t="s">
        <v>40</v>
      </c>
      <c r="I6" s="19"/>
    </row>
    <row r="7" spans="1:9" ht="16" customHeight="1" x14ac:dyDescent="0.15">
      <c r="A7" s="64" t="s">
        <v>14</v>
      </c>
      <c r="B7" s="17" t="s">
        <v>40</v>
      </c>
      <c r="C7" s="19"/>
      <c r="D7" s="17" t="s">
        <v>40</v>
      </c>
      <c r="E7" s="19"/>
      <c r="F7" s="17" t="s">
        <v>40</v>
      </c>
      <c r="G7" s="19"/>
      <c r="H7" s="17" t="s">
        <v>40</v>
      </c>
      <c r="I7" s="19"/>
    </row>
    <row r="8" spans="1:9" ht="16" customHeight="1" x14ac:dyDescent="0.15">
      <c r="A8" s="64" t="s">
        <v>15</v>
      </c>
      <c r="B8" s="17" t="s">
        <v>40</v>
      </c>
      <c r="C8" s="19"/>
      <c r="D8" s="17" t="s">
        <v>40</v>
      </c>
      <c r="E8" s="19"/>
      <c r="F8" s="17" t="s">
        <v>40</v>
      </c>
      <c r="G8" s="19"/>
      <c r="H8" s="17" t="s">
        <v>40</v>
      </c>
      <c r="I8" s="19"/>
    </row>
    <row r="9" spans="1:9" ht="16" customHeight="1" x14ac:dyDescent="0.15">
      <c r="A9" s="64" t="s">
        <v>16</v>
      </c>
      <c r="B9" s="17" t="s">
        <v>40</v>
      </c>
      <c r="C9" s="19"/>
      <c r="D9" s="17" t="s">
        <v>40</v>
      </c>
      <c r="E9" s="19"/>
      <c r="F9" s="17" t="s">
        <v>40</v>
      </c>
      <c r="G9" s="19"/>
      <c r="H9" s="17" t="s">
        <v>40</v>
      </c>
      <c r="I9" s="19"/>
    </row>
    <row r="10" spans="1:9" ht="16" customHeight="1" x14ac:dyDescent="0.15">
      <c r="A10" s="64" t="s">
        <v>17</v>
      </c>
      <c r="B10" s="17" t="s">
        <v>40</v>
      </c>
      <c r="C10" s="19"/>
      <c r="D10" s="17" t="s">
        <v>40</v>
      </c>
      <c r="E10" s="19"/>
      <c r="F10" s="17" t="s">
        <v>40</v>
      </c>
      <c r="G10" s="19"/>
      <c r="H10" s="17" t="s">
        <v>40</v>
      </c>
      <c r="I10" s="19"/>
    </row>
    <row r="11" spans="1:9" ht="16" customHeight="1" x14ac:dyDescent="0.15">
      <c r="A11" s="64" t="s">
        <v>18</v>
      </c>
      <c r="B11" s="17" t="s">
        <v>40</v>
      </c>
      <c r="C11" s="19"/>
      <c r="D11" s="17" t="s">
        <v>40</v>
      </c>
      <c r="E11" s="19"/>
      <c r="F11" s="17" t="s">
        <v>40</v>
      </c>
      <c r="G11" s="19"/>
      <c r="H11" s="17" t="s">
        <v>40</v>
      </c>
      <c r="I11" s="19"/>
    </row>
    <row r="12" spans="1:9" ht="16" customHeight="1" x14ac:dyDescent="0.15">
      <c r="A12" s="64" t="s">
        <v>19</v>
      </c>
      <c r="B12" s="17" t="s">
        <v>40</v>
      </c>
      <c r="C12" s="19"/>
      <c r="D12" s="17" t="s">
        <v>40</v>
      </c>
      <c r="E12" s="19"/>
      <c r="F12" s="17" t="s">
        <v>40</v>
      </c>
      <c r="G12" s="19"/>
      <c r="H12" s="17" t="s">
        <v>40</v>
      </c>
      <c r="I12" s="19"/>
    </row>
    <row r="13" spans="1:9" ht="16" customHeight="1" x14ac:dyDescent="0.15">
      <c r="A13" s="64" t="s">
        <v>20</v>
      </c>
      <c r="B13" s="17" t="s">
        <v>40</v>
      </c>
      <c r="C13" s="19"/>
      <c r="D13" s="17" t="s">
        <v>40</v>
      </c>
      <c r="E13" s="19"/>
      <c r="F13" s="17" t="s">
        <v>40</v>
      </c>
      <c r="G13" s="19"/>
      <c r="H13" s="17" t="s">
        <v>40</v>
      </c>
      <c r="I13" s="19"/>
    </row>
    <row r="14" spans="1:9" ht="16" customHeight="1" x14ac:dyDescent="0.15">
      <c r="A14" s="64" t="s">
        <v>21</v>
      </c>
      <c r="B14" s="20" t="s">
        <v>76</v>
      </c>
      <c r="C14" s="19"/>
      <c r="D14" s="20" t="s">
        <v>76</v>
      </c>
      <c r="E14" s="19"/>
      <c r="F14" s="20" t="s">
        <v>76</v>
      </c>
      <c r="G14" s="19"/>
      <c r="H14" s="20" t="s">
        <v>76</v>
      </c>
      <c r="I14" s="19"/>
    </row>
    <row r="15" spans="1:9" ht="16" customHeight="1" x14ac:dyDescent="0.15">
      <c r="A15" s="64" t="s">
        <v>22</v>
      </c>
      <c r="B15" s="20" t="s">
        <v>76</v>
      </c>
      <c r="C15" s="19"/>
      <c r="D15" s="20" t="s">
        <v>76</v>
      </c>
      <c r="E15" s="19"/>
      <c r="F15" s="20" t="s">
        <v>76</v>
      </c>
      <c r="G15" s="19"/>
      <c r="H15" s="20" t="s">
        <v>76</v>
      </c>
      <c r="I15" s="19"/>
    </row>
    <row r="16" spans="1:9" ht="16" customHeight="1" x14ac:dyDescent="0.15">
      <c r="A16" s="64" t="s">
        <v>23</v>
      </c>
      <c r="B16" s="20" t="s">
        <v>76</v>
      </c>
      <c r="C16" s="19"/>
      <c r="D16" s="20" t="s">
        <v>76</v>
      </c>
      <c r="E16" s="19"/>
      <c r="F16" s="20" t="s">
        <v>76</v>
      </c>
      <c r="G16" s="19"/>
      <c r="H16" s="20" t="s">
        <v>76</v>
      </c>
      <c r="I16" s="19"/>
    </row>
    <row r="17" spans="1:9" ht="16" customHeight="1" x14ac:dyDescent="0.15">
      <c r="A17" s="64" t="s">
        <v>24</v>
      </c>
      <c r="B17" s="20" t="s">
        <v>76</v>
      </c>
      <c r="C17" s="19" t="s">
        <v>71</v>
      </c>
      <c r="D17" s="20" t="s">
        <v>76</v>
      </c>
      <c r="E17" s="19" t="s">
        <v>71</v>
      </c>
      <c r="F17" s="20" t="s">
        <v>76</v>
      </c>
      <c r="G17" s="19" t="s">
        <v>71</v>
      </c>
      <c r="H17" s="20" t="s">
        <v>76</v>
      </c>
      <c r="I17" s="19" t="s">
        <v>71</v>
      </c>
    </row>
    <row r="18" spans="1:9" ht="16" customHeight="1" x14ac:dyDescent="0.15">
      <c r="A18" s="64" t="s">
        <v>25</v>
      </c>
      <c r="B18" s="20" t="s">
        <v>76</v>
      </c>
      <c r="C18" s="19" t="s">
        <v>71</v>
      </c>
      <c r="D18" s="20" t="s">
        <v>76</v>
      </c>
      <c r="E18" s="19" t="s">
        <v>71</v>
      </c>
      <c r="F18" s="20" t="s">
        <v>76</v>
      </c>
      <c r="G18" s="19" t="s">
        <v>71</v>
      </c>
      <c r="H18" s="20" t="s">
        <v>76</v>
      </c>
      <c r="I18" s="19" t="s">
        <v>71</v>
      </c>
    </row>
    <row r="19" spans="1:9" ht="16" customHeight="1" x14ac:dyDescent="0.15">
      <c r="A19" s="64" t="s">
        <v>26</v>
      </c>
      <c r="B19" s="20" t="s">
        <v>76</v>
      </c>
      <c r="C19" s="19" t="s">
        <v>71</v>
      </c>
      <c r="D19" s="20" t="s">
        <v>76</v>
      </c>
      <c r="E19" s="19" t="s">
        <v>71</v>
      </c>
      <c r="F19" s="20" t="s">
        <v>76</v>
      </c>
      <c r="G19" s="19" t="s">
        <v>71</v>
      </c>
      <c r="H19" s="20" t="s">
        <v>76</v>
      </c>
      <c r="I19" s="19" t="s">
        <v>71</v>
      </c>
    </row>
    <row r="20" spans="1:9" ht="16" customHeight="1" x14ac:dyDescent="0.15">
      <c r="A20" s="64" t="s">
        <v>27</v>
      </c>
      <c r="B20" s="20" t="s">
        <v>76</v>
      </c>
      <c r="C20" s="19" t="s">
        <v>71</v>
      </c>
      <c r="D20" s="20" t="s">
        <v>76</v>
      </c>
      <c r="E20" s="19" t="s">
        <v>71</v>
      </c>
      <c r="F20" s="20" t="s">
        <v>76</v>
      </c>
      <c r="G20" s="19" t="s">
        <v>71</v>
      </c>
      <c r="H20" s="20" t="s">
        <v>76</v>
      </c>
      <c r="I20" s="19" t="s">
        <v>71</v>
      </c>
    </row>
    <row r="21" spans="1:9" ht="16" customHeight="1" x14ac:dyDescent="0.15">
      <c r="A21" s="64" t="s">
        <v>28</v>
      </c>
      <c r="B21" s="20" t="s">
        <v>76</v>
      </c>
      <c r="C21" s="19" t="s">
        <v>71</v>
      </c>
      <c r="D21" s="20" t="s">
        <v>76</v>
      </c>
      <c r="E21" s="19" t="s">
        <v>71</v>
      </c>
      <c r="F21" s="20" t="s">
        <v>76</v>
      </c>
      <c r="G21" s="19" t="s">
        <v>71</v>
      </c>
      <c r="H21" s="20" t="s">
        <v>76</v>
      </c>
      <c r="I21" s="19" t="s">
        <v>71</v>
      </c>
    </row>
    <row r="22" spans="1:9" ht="16" customHeight="1" x14ac:dyDescent="0.15">
      <c r="A22" s="64" t="s">
        <v>29</v>
      </c>
      <c r="B22" s="20" t="s">
        <v>76</v>
      </c>
      <c r="C22" s="19" t="s">
        <v>48</v>
      </c>
      <c r="D22" s="20" t="s">
        <v>76</v>
      </c>
      <c r="E22" s="19" t="s">
        <v>48</v>
      </c>
      <c r="F22" s="20" t="s">
        <v>76</v>
      </c>
      <c r="G22" s="19" t="s">
        <v>48</v>
      </c>
      <c r="H22" s="20" t="s">
        <v>76</v>
      </c>
      <c r="I22" s="19" t="s">
        <v>48</v>
      </c>
    </row>
    <row r="23" spans="1:9" ht="16" customHeight="1" x14ac:dyDescent="0.15">
      <c r="A23" s="64" t="s">
        <v>30</v>
      </c>
      <c r="B23" s="20" t="s">
        <v>76</v>
      </c>
      <c r="C23" s="19" t="s">
        <v>48</v>
      </c>
      <c r="D23" s="20" t="s">
        <v>76</v>
      </c>
      <c r="E23" s="19" t="s">
        <v>48</v>
      </c>
      <c r="F23" s="20" t="s">
        <v>76</v>
      </c>
      <c r="G23" s="19" t="s">
        <v>48</v>
      </c>
      <c r="H23" s="20" t="s">
        <v>76</v>
      </c>
      <c r="I23" s="19" t="s">
        <v>48</v>
      </c>
    </row>
    <row r="24" spans="1:9" ht="16" customHeight="1" x14ac:dyDescent="0.15">
      <c r="A24" s="64" t="s">
        <v>31</v>
      </c>
      <c r="B24" s="20" t="s">
        <v>76</v>
      </c>
      <c r="C24" s="19" t="s">
        <v>48</v>
      </c>
      <c r="D24" s="20" t="s">
        <v>76</v>
      </c>
      <c r="E24" s="19" t="s">
        <v>48</v>
      </c>
      <c r="F24" s="20" t="s">
        <v>76</v>
      </c>
      <c r="G24" s="19" t="s">
        <v>48</v>
      </c>
      <c r="H24" s="20" t="s">
        <v>76</v>
      </c>
      <c r="I24" s="19" t="s">
        <v>48</v>
      </c>
    </row>
    <row r="25" spans="1:9" ht="16" customHeight="1" x14ac:dyDescent="0.15">
      <c r="A25" s="64" t="s">
        <v>32</v>
      </c>
      <c r="B25" s="28" t="s">
        <v>76</v>
      </c>
      <c r="C25" s="19" t="s">
        <v>48</v>
      </c>
      <c r="D25" s="28" t="s">
        <v>76</v>
      </c>
      <c r="E25" s="19" t="s">
        <v>48</v>
      </c>
      <c r="F25" s="28" t="s">
        <v>76</v>
      </c>
      <c r="G25" s="19" t="s">
        <v>48</v>
      </c>
      <c r="H25" s="28" t="s">
        <v>76</v>
      </c>
      <c r="I25" s="19" t="s">
        <v>48</v>
      </c>
    </row>
    <row r="26" spans="1:9" ht="16" customHeight="1" x14ac:dyDescent="0.15">
      <c r="A26" s="64" t="s">
        <v>33</v>
      </c>
      <c r="B26" s="28" t="s">
        <v>76</v>
      </c>
      <c r="C26" s="19" t="s">
        <v>48</v>
      </c>
      <c r="D26" s="28" t="s">
        <v>76</v>
      </c>
      <c r="E26" s="19" t="s">
        <v>48</v>
      </c>
      <c r="F26" s="28" t="s">
        <v>76</v>
      </c>
      <c r="G26" s="19" t="s">
        <v>48</v>
      </c>
      <c r="H26" s="28" t="s">
        <v>76</v>
      </c>
      <c r="I26" s="19" t="s">
        <v>48</v>
      </c>
    </row>
    <row r="27" spans="1:9" ht="16" customHeight="1" x14ac:dyDescent="0.15">
      <c r="A27" s="64" t="s">
        <v>34</v>
      </c>
      <c r="B27" s="28" t="s">
        <v>46</v>
      </c>
      <c r="C27" s="19" t="s">
        <v>46</v>
      </c>
      <c r="D27" s="28" t="s">
        <v>46</v>
      </c>
      <c r="E27" s="19" t="s">
        <v>46</v>
      </c>
      <c r="F27" s="28" t="s">
        <v>46</v>
      </c>
      <c r="G27" s="19" t="s">
        <v>46</v>
      </c>
      <c r="H27" s="28" t="s">
        <v>46</v>
      </c>
      <c r="I27" s="19" t="s">
        <v>46</v>
      </c>
    </row>
    <row r="28" spans="1:9" ht="16" customHeight="1" x14ac:dyDescent="0.15">
      <c r="A28" s="64" t="s">
        <v>35</v>
      </c>
      <c r="B28" s="28" t="s">
        <v>46</v>
      </c>
      <c r="C28" s="19" t="s">
        <v>46</v>
      </c>
      <c r="D28" s="28" t="s">
        <v>46</v>
      </c>
      <c r="E28" s="19" t="s">
        <v>46</v>
      </c>
      <c r="F28" s="28" t="s">
        <v>46</v>
      </c>
      <c r="G28" s="19" t="s">
        <v>46</v>
      </c>
      <c r="H28" s="28" t="s">
        <v>46</v>
      </c>
      <c r="I28" s="19" t="s">
        <v>46</v>
      </c>
    </row>
    <row r="29" spans="1:9" ht="16" customHeight="1" x14ac:dyDescent="0.15">
      <c r="A29" s="64" t="s">
        <v>36</v>
      </c>
      <c r="B29" s="28" t="s">
        <v>46</v>
      </c>
      <c r="C29" s="19" t="s">
        <v>46</v>
      </c>
      <c r="D29" s="28" t="s">
        <v>46</v>
      </c>
      <c r="E29" s="19" t="s">
        <v>46</v>
      </c>
      <c r="F29" s="28" t="s">
        <v>46</v>
      </c>
      <c r="G29" s="19" t="s">
        <v>46</v>
      </c>
      <c r="H29" s="28" t="s">
        <v>46</v>
      </c>
      <c r="I29" s="19" t="s">
        <v>46</v>
      </c>
    </row>
    <row r="30" spans="1:9" ht="16" customHeight="1" x14ac:dyDescent="0.15">
      <c r="A30" s="63" t="s">
        <v>37</v>
      </c>
      <c r="B30" s="44" t="s">
        <v>46</v>
      </c>
      <c r="C30" s="19" t="s">
        <v>46</v>
      </c>
      <c r="D30" s="44" t="s">
        <v>46</v>
      </c>
      <c r="E30" s="19" t="s">
        <v>46</v>
      </c>
      <c r="F30" s="44" t="s">
        <v>46</v>
      </c>
      <c r="G30" s="19" t="s">
        <v>46</v>
      </c>
      <c r="H30" s="44" t="s">
        <v>46</v>
      </c>
      <c r="I30" s="19" t="s">
        <v>46</v>
      </c>
    </row>
    <row r="31" spans="1:9" ht="16" customHeight="1" x14ac:dyDescent="0.15">
      <c r="A31" s="63" t="s">
        <v>38</v>
      </c>
      <c r="B31" s="28" t="s">
        <v>46</v>
      </c>
      <c r="C31" s="25" t="s">
        <v>46</v>
      </c>
      <c r="D31" s="28" t="s">
        <v>46</v>
      </c>
      <c r="E31" s="25" t="s">
        <v>46</v>
      </c>
      <c r="F31" s="28" t="s">
        <v>46</v>
      </c>
      <c r="G31" s="25" t="s">
        <v>46</v>
      </c>
      <c r="H31" s="28" t="s">
        <v>46</v>
      </c>
      <c r="I31" s="25" t="s">
        <v>46</v>
      </c>
    </row>
    <row r="32" spans="1:9" ht="16" customHeight="1" x14ac:dyDescent="0.15">
      <c r="A32" s="65" t="s">
        <v>39</v>
      </c>
      <c r="B32" s="44"/>
      <c r="C32" s="25" t="s">
        <v>46</v>
      </c>
      <c r="D32" s="44"/>
      <c r="E32" s="25" t="s">
        <v>46</v>
      </c>
      <c r="F32" s="44"/>
      <c r="G32" s="25" t="s">
        <v>46</v>
      </c>
      <c r="H32" s="44"/>
      <c r="I32" s="25" t="s">
        <v>46</v>
      </c>
    </row>
    <row r="33" spans="1:9" ht="16" customHeight="1" x14ac:dyDescent="0.15">
      <c r="A33" s="63" t="s">
        <v>58</v>
      </c>
      <c r="B33" s="20"/>
      <c r="C33" s="19"/>
      <c r="D33" s="20"/>
      <c r="E33" s="19"/>
      <c r="F33" s="20"/>
      <c r="G33" s="19"/>
      <c r="H33" s="20"/>
      <c r="I33" s="19"/>
    </row>
    <row r="34" spans="1:9" ht="16" customHeight="1" thickBot="1" x14ac:dyDescent="0.2">
      <c r="A34" s="63" t="s">
        <v>59</v>
      </c>
      <c r="B34" s="24"/>
      <c r="C34" s="25"/>
      <c r="D34" s="24"/>
      <c r="E34" s="25"/>
      <c r="F34" s="24"/>
      <c r="G34" s="25"/>
      <c r="H34" s="24"/>
      <c r="I34" s="25"/>
    </row>
    <row r="35" spans="1:9" ht="16" customHeight="1" thickBot="1" x14ac:dyDescent="0.2">
      <c r="A35" s="48" t="s">
        <v>43</v>
      </c>
      <c r="B35" s="21">
        <f t="shared" ref="B35:I35" si="0">(COUNTA(B3:B32))/4</f>
        <v>6.75</v>
      </c>
      <c r="C35" s="21">
        <f t="shared" si="0"/>
        <v>4</v>
      </c>
      <c r="D35" s="21">
        <f t="shared" si="0"/>
        <v>6.75</v>
      </c>
      <c r="E35" s="21">
        <f t="shared" si="0"/>
        <v>4</v>
      </c>
      <c r="F35" s="21">
        <f t="shared" si="0"/>
        <v>6.75</v>
      </c>
      <c r="G35" s="21">
        <f t="shared" si="0"/>
        <v>4</v>
      </c>
      <c r="H35" s="21">
        <f t="shared" si="0"/>
        <v>6.75</v>
      </c>
      <c r="I35" s="21">
        <f t="shared" si="0"/>
        <v>4</v>
      </c>
    </row>
    <row r="36" spans="1:9" ht="16" customHeight="1" thickBot="1" x14ac:dyDescent="0.2">
      <c r="A36" s="22" t="s">
        <v>42</v>
      </c>
      <c r="B36" s="129">
        <f>B35+C35</f>
        <v>10.75</v>
      </c>
      <c r="C36" s="130"/>
      <c r="D36" s="129">
        <f>E35+D35</f>
        <v>10.75</v>
      </c>
      <c r="E36" s="130"/>
      <c r="F36" s="129">
        <f>G35+F35</f>
        <v>10.75</v>
      </c>
      <c r="G36" s="130"/>
      <c r="H36" s="129">
        <f>I35+H35</f>
        <v>10.75</v>
      </c>
      <c r="I36" s="130"/>
    </row>
    <row r="37" spans="1:9" ht="16" customHeight="1" thickBot="1" x14ac:dyDescent="0.2">
      <c r="A37" s="36" t="s">
        <v>50</v>
      </c>
      <c r="B37" s="104">
        <v>1</v>
      </c>
      <c r="C37" s="105"/>
      <c r="D37" s="131">
        <v>2</v>
      </c>
      <c r="E37" s="132"/>
      <c r="F37" s="131">
        <v>3</v>
      </c>
      <c r="G37" s="132"/>
      <c r="H37" s="131">
        <v>4</v>
      </c>
      <c r="I37" s="132"/>
    </row>
    <row r="38" spans="1:9" ht="16" customHeight="1" thickBot="1" x14ac:dyDescent="0.2"/>
    <row r="39" spans="1:9" ht="18" thickBot="1" x14ac:dyDescent="0.2">
      <c r="A39" s="32" t="s">
        <v>8</v>
      </c>
      <c r="B39" s="33">
        <f>SUM(B35:I35)</f>
        <v>43</v>
      </c>
      <c r="C39" s="14"/>
      <c r="D39" s="14"/>
      <c r="E39" s="14"/>
      <c r="F39" s="14"/>
      <c r="G39" s="14"/>
      <c r="H39" s="14"/>
      <c r="I39" s="14"/>
    </row>
    <row r="40" spans="1:9" ht="18" thickBot="1" x14ac:dyDescent="0.2">
      <c r="A40" s="34" t="s">
        <v>49</v>
      </c>
      <c r="B40" s="35">
        <v>30</v>
      </c>
      <c r="C40" s="1"/>
      <c r="D40" s="1"/>
      <c r="E40" s="1"/>
      <c r="F40" s="1"/>
      <c r="G40" s="1"/>
      <c r="H40" s="1"/>
      <c r="I40" s="1"/>
    </row>
    <row r="41" spans="1:9" ht="18" thickBot="1" x14ac:dyDescent="0.2">
      <c r="A41" s="3" t="s">
        <v>4</v>
      </c>
      <c r="B41" s="12">
        <f>B39*B40</f>
        <v>1290</v>
      </c>
      <c r="C41" s="1"/>
    </row>
    <row r="42" spans="1:9" ht="16" customHeight="1" x14ac:dyDescent="0.15">
      <c r="A42" s="2"/>
      <c r="B42" s="2"/>
      <c r="C42" s="2"/>
    </row>
  </sheetData>
  <mergeCells count="7">
    <mergeCell ref="B36:C36"/>
    <mergeCell ref="D36:E36"/>
    <mergeCell ref="F36:G36"/>
    <mergeCell ref="H36:I36"/>
    <mergeCell ref="D37:E37"/>
    <mergeCell ref="F37:G37"/>
    <mergeCell ref="H37:I37"/>
  </mergeCells>
  <phoneticPr fontId="3" type="noConversion"/>
  <conditionalFormatting sqref="B40:B41">
    <cfRule type="cellIs" dxfId="9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027F-9802-7741-8A45-85F80E107C4E}">
  <sheetPr>
    <pageSetUpPr fitToPage="1"/>
  </sheetPr>
  <dimension ref="A1:I42"/>
  <sheetViews>
    <sheetView showGridLines="0" zoomScale="120" zoomScaleNormal="120" workbookViewId="0">
      <selection activeCell="B3" sqref="B3:E34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9" width="12.5" customWidth="1"/>
  </cols>
  <sheetData>
    <row r="1" spans="1:5" s="10" customFormat="1" ht="16" customHeight="1" thickBot="1" x14ac:dyDescent="0.2">
      <c r="A1" s="38" t="s">
        <v>2</v>
      </c>
      <c r="B1" s="8">
        <v>46130</v>
      </c>
      <c r="C1" s="8">
        <v>46132</v>
      </c>
      <c r="D1" s="8">
        <v>46137</v>
      </c>
      <c r="E1" s="8">
        <v>46139</v>
      </c>
    </row>
    <row r="2" spans="1:5" ht="27" customHeight="1" thickBot="1" x14ac:dyDescent="0.2">
      <c r="A2" s="61" t="s">
        <v>1</v>
      </c>
      <c r="B2" s="53" t="s">
        <v>5</v>
      </c>
      <c r="C2" s="53" t="s">
        <v>0</v>
      </c>
      <c r="D2" s="53" t="s">
        <v>5</v>
      </c>
      <c r="E2" s="53" t="s">
        <v>0</v>
      </c>
    </row>
    <row r="3" spans="1:5" ht="16" customHeight="1" x14ac:dyDescent="0.15">
      <c r="A3" s="62" t="s">
        <v>10</v>
      </c>
      <c r="B3" s="27"/>
      <c r="C3" s="29"/>
      <c r="D3" s="27"/>
      <c r="E3" s="29"/>
    </row>
    <row r="4" spans="1:5" ht="16" customHeight="1" x14ac:dyDescent="0.15">
      <c r="A4" s="63" t="s">
        <v>11</v>
      </c>
      <c r="B4" s="27"/>
      <c r="C4" s="18"/>
      <c r="D4" s="27"/>
      <c r="E4" s="18"/>
    </row>
    <row r="5" spans="1:5" ht="16" customHeight="1" x14ac:dyDescent="0.15">
      <c r="A5" s="63" t="s">
        <v>12</v>
      </c>
      <c r="B5" s="17" t="s">
        <v>40</v>
      </c>
      <c r="C5" s="19"/>
      <c r="D5" s="17" t="s">
        <v>40</v>
      </c>
      <c r="E5" s="19"/>
    </row>
    <row r="6" spans="1:5" ht="16" customHeight="1" x14ac:dyDescent="0.15">
      <c r="A6" s="63" t="s">
        <v>13</v>
      </c>
      <c r="B6" s="17" t="s">
        <v>40</v>
      </c>
      <c r="C6" s="19"/>
      <c r="D6" s="17" t="s">
        <v>40</v>
      </c>
      <c r="E6" s="19"/>
    </row>
    <row r="7" spans="1:5" ht="16" customHeight="1" x14ac:dyDescent="0.15">
      <c r="A7" s="64" t="s">
        <v>14</v>
      </c>
      <c r="B7" s="17" t="s">
        <v>40</v>
      </c>
      <c r="C7" s="19"/>
      <c r="D7" s="17" t="s">
        <v>40</v>
      </c>
      <c r="E7" s="19"/>
    </row>
    <row r="8" spans="1:5" ht="16" customHeight="1" x14ac:dyDescent="0.15">
      <c r="A8" s="64" t="s">
        <v>15</v>
      </c>
      <c r="B8" s="17" t="s">
        <v>40</v>
      </c>
      <c r="C8" s="19"/>
      <c r="D8" s="17" t="s">
        <v>40</v>
      </c>
      <c r="E8" s="19"/>
    </row>
    <row r="9" spans="1:5" ht="16" customHeight="1" x14ac:dyDescent="0.15">
      <c r="A9" s="64" t="s">
        <v>16</v>
      </c>
      <c r="B9" s="17" t="s">
        <v>40</v>
      </c>
      <c r="C9" s="19"/>
      <c r="D9" s="17" t="s">
        <v>40</v>
      </c>
      <c r="E9" s="19"/>
    </row>
    <row r="10" spans="1:5" ht="16" customHeight="1" x14ac:dyDescent="0.15">
      <c r="A10" s="64" t="s">
        <v>17</v>
      </c>
      <c r="B10" s="17" t="s">
        <v>40</v>
      </c>
      <c r="C10" s="19"/>
      <c r="D10" s="17" t="s">
        <v>40</v>
      </c>
      <c r="E10" s="19"/>
    </row>
    <row r="11" spans="1:5" ht="16" customHeight="1" x14ac:dyDescent="0.15">
      <c r="A11" s="64" t="s">
        <v>18</v>
      </c>
      <c r="B11" s="17" t="s">
        <v>40</v>
      </c>
      <c r="C11" s="19"/>
      <c r="D11" s="17" t="s">
        <v>40</v>
      </c>
      <c r="E11" s="19"/>
    </row>
    <row r="12" spans="1:5" ht="16" customHeight="1" x14ac:dyDescent="0.15">
      <c r="A12" s="64" t="s">
        <v>19</v>
      </c>
      <c r="B12" s="17" t="s">
        <v>40</v>
      </c>
      <c r="C12" s="19"/>
      <c r="D12" s="17" t="s">
        <v>40</v>
      </c>
      <c r="E12" s="19"/>
    </row>
    <row r="13" spans="1:5" ht="16" customHeight="1" x14ac:dyDescent="0.15">
      <c r="A13" s="64" t="s">
        <v>20</v>
      </c>
      <c r="B13" s="17" t="s">
        <v>40</v>
      </c>
      <c r="C13" s="19"/>
      <c r="D13" s="17" t="s">
        <v>40</v>
      </c>
      <c r="E13" s="19"/>
    </row>
    <row r="14" spans="1:5" ht="16" customHeight="1" x14ac:dyDescent="0.15">
      <c r="A14" s="64" t="s">
        <v>21</v>
      </c>
      <c r="B14" s="20" t="s">
        <v>76</v>
      </c>
      <c r="C14" s="19"/>
      <c r="D14" s="20" t="s">
        <v>76</v>
      </c>
      <c r="E14" s="19"/>
    </row>
    <row r="15" spans="1:5" ht="16" customHeight="1" x14ac:dyDescent="0.15">
      <c r="A15" s="64" t="s">
        <v>22</v>
      </c>
      <c r="B15" s="20" t="s">
        <v>76</v>
      </c>
      <c r="C15" s="19"/>
      <c r="D15" s="20" t="s">
        <v>76</v>
      </c>
      <c r="E15" s="19"/>
    </row>
    <row r="16" spans="1:5" ht="16" customHeight="1" x14ac:dyDescent="0.15">
      <c r="A16" s="64" t="s">
        <v>23</v>
      </c>
      <c r="B16" s="20" t="s">
        <v>76</v>
      </c>
      <c r="C16" s="19"/>
      <c r="D16" s="20" t="s">
        <v>76</v>
      </c>
      <c r="E16" s="19"/>
    </row>
    <row r="17" spans="1:5" ht="16" customHeight="1" x14ac:dyDescent="0.15">
      <c r="A17" s="64" t="s">
        <v>24</v>
      </c>
      <c r="B17" s="20" t="s">
        <v>76</v>
      </c>
      <c r="C17" s="19" t="s">
        <v>71</v>
      </c>
      <c r="D17" s="20" t="s">
        <v>76</v>
      </c>
      <c r="E17" s="19" t="s">
        <v>71</v>
      </c>
    </row>
    <row r="18" spans="1:5" ht="16" customHeight="1" x14ac:dyDescent="0.15">
      <c r="A18" s="64" t="s">
        <v>25</v>
      </c>
      <c r="B18" s="20" t="s">
        <v>76</v>
      </c>
      <c r="C18" s="19" t="s">
        <v>71</v>
      </c>
      <c r="D18" s="20" t="s">
        <v>76</v>
      </c>
      <c r="E18" s="19" t="s">
        <v>71</v>
      </c>
    </row>
    <row r="19" spans="1:5" ht="16" customHeight="1" x14ac:dyDescent="0.15">
      <c r="A19" s="64" t="s">
        <v>26</v>
      </c>
      <c r="B19" s="20" t="s">
        <v>76</v>
      </c>
      <c r="C19" s="19" t="s">
        <v>71</v>
      </c>
      <c r="D19" s="20" t="s">
        <v>76</v>
      </c>
      <c r="E19" s="19" t="s">
        <v>71</v>
      </c>
    </row>
    <row r="20" spans="1:5" ht="16" customHeight="1" x14ac:dyDescent="0.15">
      <c r="A20" s="64" t="s">
        <v>27</v>
      </c>
      <c r="B20" s="20" t="s">
        <v>76</v>
      </c>
      <c r="C20" s="19" t="s">
        <v>71</v>
      </c>
      <c r="D20" s="20" t="s">
        <v>76</v>
      </c>
      <c r="E20" s="19" t="s">
        <v>71</v>
      </c>
    </row>
    <row r="21" spans="1:5" ht="16" customHeight="1" x14ac:dyDescent="0.15">
      <c r="A21" s="64" t="s">
        <v>28</v>
      </c>
      <c r="B21" s="20" t="s">
        <v>76</v>
      </c>
      <c r="C21" s="19" t="s">
        <v>71</v>
      </c>
      <c r="D21" s="20" t="s">
        <v>76</v>
      </c>
      <c r="E21" s="19" t="s">
        <v>71</v>
      </c>
    </row>
    <row r="22" spans="1:5" ht="16" customHeight="1" x14ac:dyDescent="0.15">
      <c r="A22" s="64" t="s">
        <v>29</v>
      </c>
      <c r="B22" s="20" t="s">
        <v>76</v>
      </c>
      <c r="C22" s="19" t="s">
        <v>48</v>
      </c>
      <c r="D22" s="20" t="s">
        <v>76</v>
      </c>
      <c r="E22" s="19" t="s">
        <v>48</v>
      </c>
    </row>
    <row r="23" spans="1:5" ht="16" customHeight="1" x14ac:dyDescent="0.15">
      <c r="A23" s="64" t="s">
        <v>30</v>
      </c>
      <c r="B23" s="20" t="s">
        <v>76</v>
      </c>
      <c r="C23" s="19" t="s">
        <v>48</v>
      </c>
      <c r="D23" s="20" t="s">
        <v>76</v>
      </c>
      <c r="E23" s="19" t="s">
        <v>48</v>
      </c>
    </row>
    <row r="24" spans="1:5" ht="16" customHeight="1" x14ac:dyDescent="0.15">
      <c r="A24" s="64" t="s">
        <v>31</v>
      </c>
      <c r="B24" s="20" t="s">
        <v>76</v>
      </c>
      <c r="C24" s="19" t="s">
        <v>48</v>
      </c>
      <c r="D24" s="20" t="s">
        <v>76</v>
      </c>
      <c r="E24" s="19" t="s">
        <v>48</v>
      </c>
    </row>
    <row r="25" spans="1:5" ht="16" customHeight="1" x14ac:dyDescent="0.15">
      <c r="A25" s="64" t="s">
        <v>32</v>
      </c>
      <c r="B25" s="28" t="s">
        <v>76</v>
      </c>
      <c r="C25" s="19" t="s">
        <v>48</v>
      </c>
      <c r="D25" s="28" t="s">
        <v>76</v>
      </c>
      <c r="E25" s="19" t="s">
        <v>48</v>
      </c>
    </row>
    <row r="26" spans="1:5" ht="16" customHeight="1" x14ac:dyDescent="0.15">
      <c r="A26" s="64" t="s">
        <v>33</v>
      </c>
      <c r="B26" s="28" t="s">
        <v>76</v>
      </c>
      <c r="C26" s="19" t="s">
        <v>48</v>
      </c>
      <c r="D26" s="28" t="s">
        <v>76</v>
      </c>
      <c r="E26" s="19" t="s">
        <v>48</v>
      </c>
    </row>
    <row r="27" spans="1:5" ht="16" customHeight="1" x14ac:dyDescent="0.15">
      <c r="A27" s="64" t="s">
        <v>34</v>
      </c>
      <c r="B27" s="28" t="s">
        <v>46</v>
      </c>
      <c r="C27" s="19" t="s">
        <v>46</v>
      </c>
      <c r="D27" s="28" t="s">
        <v>46</v>
      </c>
      <c r="E27" s="19" t="s">
        <v>46</v>
      </c>
    </row>
    <row r="28" spans="1:5" ht="16" customHeight="1" x14ac:dyDescent="0.15">
      <c r="A28" s="64" t="s">
        <v>35</v>
      </c>
      <c r="B28" s="28" t="s">
        <v>46</v>
      </c>
      <c r="C28" s="19" t="s">
        <v>46</v>
      </c>
      <c r="D28" s="28" t="s">
        <v>46</v>
      </c>
      <c r="E28" s="19" t="s">
        <v>46</v>
      </c>
    </row>
    <row r="29" spans="1:5" ht="16" customHeight="1" x14ac:dyDescent="0.15">
      <c r="A29" s="64" t="s">
        <v>36</v>
      </c>
      <c r="B29" s="28" t="s">
        <v>46</v>
      </c>
      <c r="C29" s="19" t="s">
        <v>46</v>
      </c>
      <c r="D29" s="28" t="s">
        <v>46</v>
      </c>
      <c r="E29" s="19" t="s">
        <v>46</v>
      </c>
    </row>
    <row r="30" spans="1:5" ht="16" customHeight="1" x14ac:dyDescent="0.15">
      <c r="A30" s="63" t="s">
        <v>37</v>
      </c>
      <c r="B30" s="44" t="s">
        <v>46</v>
      </c>
      <c r="C30" s="19" t="s">
        <v>46</v>
      </c>
      <c r="D30" s="44" t="s">
        <v>46</v>
      </c>
      <c r="E30" s="19" t="s">
        <v>46</v>
      </c>
    </row>
    <row r="31" spans="1:5" ht="16" customHeight="1" x14ac:dyDescent="0.15">
      <c r="A31" s="63" t="s">
        <v>38</v>
      </c>
      <c r="B31" s="28" t="s">
        <v>46</v>
      </c>
      <c r="C31" s="25" t="s">
        <v>46</v>
      </c>
      <c r="D31" s="28" t="s">
        <v>46</v>
      </c>
      <c r="E31" s="25" t="s">
        <v>46</v>
      </c>
    </row>
    <row r="32" spans="1:5" ht="16" customHeight="1" x14ac:dyDescent="0.15">
      <c r="A32" s="65" t="s">
        <v>39</v>
      </c>
      <c r="B32" s="44"/>
      <c r="C32" s="25" t="s">
        <v>46</v>
      </c>
      <c r="D32" s="44"/>
      <c r="E32" s="25" t="s">
        <v>46</v>
      </c>
    </row>
    <row r="33" spans="1:9" ht="16" customHeight="1" x14ac:dyDescent="0.15">
      <c r="A33" s="63" t="s">
        <v>58</v>
      </c>
      <c r="B33" s="20"/>
      <c r="C33" s="19"/>
      <c r="D33" s="20"/>
      <c r="E33" s="19"/>
    </row>
    <row r="34" spans="1:9" ht="16" customHeight="1" thickBot="1" x14ac:dyDescent="0.2">
      <c r="A34" s="63" t="s">
        <v>59</v>
      </c>
      <c r="B34" s="24"/>
      <c r="C34" s="25"/>
      <c r="D34" s="24"/>
      <c r="E34" s="25"/>
    </row>
    <row r="35" spans="1:9" ht="16" customHeight="1" thickBot="1" x14ac:dyDescent="0.2">
      <c r="A35" s="48" t="s">
        <v>43</v>
      </c>
      <c r="B35" s="21">
        <f t="shared" ref="B35:E35" si="0">(COUNTA(B3:B32))/4</f>
        <v>6.75</v>
      </c>
      <c r="C35" s="21">
        <f t="shared" si="0"/>
        <v>4</v>
      </c>
      <c r="D35" s="21">
        <f t="shared" si="0"/>
        <v>6.75</v>
      </c>
      <c r="E35" s="21">
        <f t="shared" si="0"/>
        <v>4</v>
      </c>
    </row>
    <row r="36" spans="1:9" ht="16" customHeight="1" thickBot="1" x14ac:dyDescent="0.2">
      <c r="A36" s="22" t="s">
        <v>42</v>
      </c>
      <c r="B36" s="129">
        <f>C35+B35</f>
        <v>10.75</v>
      </c>
      <c r="C36" s="130"/>
      <c r="D36" s="129">
        <f>E35+D35</f>
        <v>10.75</v>
      </c>
      <c r="E36" s="130"/>
    </row>
    <row r="37" spans="1:9" ht="16" customHeight="1" thickBot="1" x14ac:dyDescent="0.2">
      <c r="A37" s="36" t="s">
        <v>50</v>
      </c>
      <c r="B37" s="131">
        <v>3</v>
      </c>
      <c r="C37" s="132"/>
      <c r="D37" s="131">
        <v>4</v>
      </c>
      <c r="E37" s="132"/>
    </row>
    <row r="38" spans="1:9" ht="16" customHeight="1" thickBot="1" x14ac:dyDescent="0.2"/>
    <row r="39" spans="1:9" ht="18" thickBot="1" x14ac:dyDescent="0.2">
      <c r="A39" s="32" t="s">
        <v>8</v>
      </c>
      <c r="B39" s="33">
        <f>SUM(B35:E35)</f>
        <v>21.5</v>
      </c>
      <c r="C39" s="14"/>
      <c r="D39" s="14"/>
      <c r="E39" s="14"/>
      <c r="F39" s="14"/>
      <c r="G39" s="14"/>
      <c r="H39" s="14"/>
      <c r="I39" s="14"/>
    </row>
    <row r="40" spans="1:9" ht="18" thickBot="1" x14ac:dyDescent="0.2">
      <c r="A40" s="34" t="s">
        <v>49</v>
      </c>
      <c r="B40" s="35">
        <v>30</v>
      </c>
      <c r="C40" s="1"/>
      <c r="D40" s="1"/>
      <c r="E40" s="1"/>
      <c r="F40" s="1"/>
      <c r="G40" s="1"/>
      <c r="H40" s="1"/>
      <c r="I40" s="1"/>
    </row>
    <row r="41" spans="1:9" ht="18" thickBot="1" x14ac:dyDescent="0.2">
      <c r="A41" s="3" t="s">
        <v>4</v>
      </c>
      <c r="B41" s="12">
        <f>B39*B40</f>
        <v>645</v>
      </c>
      <c r="C41" s="1"/>
    </row>
    <row r="42" spans="1:9" ht="16" customHeight="1" x14ac:dyDescent="0.15">
      <c r="A42" s="2"/>
      <c r="B42" s="2"/>
      <c r="C42" s="2"/>
    </row>
  </sheetData>
  <mergeCells count="4">
    <mergeCell ref="B36:C36"/>
    <mergeCell ref="D36:E36"/>
    <mergeCell ref="B37:C37"/>
    <mergeCell ref="D37:E37"/>
  </mergeCells>
  <conditionalFormatting sqref="B40:B41">
    <cfRule type="cellIs" dxfId="8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B380-4E55-6245-B1EC-AD13F59807B9}">
  <sheetPr>
    <pageSetUpPr fitToPage="1"/>
  </sheetPr>
  <dimension ref="A1:I42"/>
  <sheetViews>
    <sheetView showGridLines="0" zoomScale="120" zoomScaleNormal="120" workbookViewId="0">
      <selection activeCell="H3" sqref="H3:I34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9" width="12.5" customWidth="1"/>
  </cols>
  <sheetData>
    <row r="1" spans="1:9" s="10" customFormat="1" ht="16" customHeight="1" thickBot="1" x14ac:dyDescent="0.2">
      <c r="A1" s="38" t="s">
        <v>2</v>
      </c>
      <c r="B1" s="7">
        <v>46085</v>
      </c>
      <c r="C1" s="8">
        <v>46087</v>
      </c>
      <c r="D1" s="8">
        <v>46092</v>
      </c>
      <c r="E1" s="8">
        <v>46094</v>
      </c>
      <c r="F1" s="8">
        <v>46099</v>
      </c>
      <c r="G1" s="8">
        <v>46101</v>
      </c>
      <c r="H1" s="8">
        <v>46106</v>
      </c>
      <c r="I1" s="8">
        <v>46108</v>
      </c>
    </row>
    <row r="2" spans="1:9" ht="27" customHeight="1" thickBot="1" x14ac:dyDescent="0.2">
      <c r="A2" s="61" t="s">
        <v>1</v>
      </c>
      <c r="B2" s="102" t="s">
        <v>5</v>
      </c>
      <c r="C2" s="103" t="s">
        <v>0</v>
      </c>
      <c r="D2" s="102" t="s">
        <v>5</v>
      </c>
      <c r="E2" s="103" t="s">
        <v>0</v>
      </c>
      <c r="F2" s="102" t="s">
        <v>5</v>
      </c>
      <c r="G2" s="103" t="s">
        <v>0</v>
      </c>
      <c r="H2" s="102" t="s">
        <v>5</v>
      </c>
      <c r="I2" s="103" t="s">
        <v>0</v>
      </c>
    </row>
    <row r="3" spans="1:9" ht="16" customHeight="1" x14ac:dyDescent="0.15">
      <c r="A3" s="62" t="s">
        <v>10</v>
      </c>
      <c r="B3" s="17"/>
      <c r="C3" s="18"/>
      <c r="D3" s="27"/>
      <c r="E3" s="29"/>
      <c r="F3" s="27"/>
      <c r="G3" s="29"/>
      <c r="H3" s="27"/>
      <c r="I3" s="29"/>
    </row>
    <row r="4" spans="1:9" ht="16" customHeight="1" x14ac:dyDescent="0.15">
      <c r="A4" s="63" t="s">
        <v>11</v>
      </c>
      <c r="B4" s="17"/>
      <c r="C4" s="19"/>
      <c r="D4" s="27"/>
      <c r="E4" s="18"/>
      <c r="F4" s="27"/>
      <c r="G4" s="18"/>
      <c r="H4" s="27"/>
      <c r="I4" s="18"/>
    </row>
    <row r="5" spans="1:9" ht="16" customHeight="1" x14ac:dyDescent="0.15">
      <c r="A5" s="63" t="s">
        <v>12</v>
      </c>
      <c r="B5" s="17" t="s">
        <v>40</v>
      </c>
      <c r="C5" s="19"/>
      <c r="D5" s="17" t="s">
        <v>40</v>
      </c>
      <c r="E5" s="19"/>
      <c r="F5" s="17" t="s">
        <v>40</v>
      </c>
      <c r="G5" s="19"/>
      <c r="H5" s="17" t="s">
        <v>40</v>
      </c>
      <c r="I5" s="19"/>
    </row>
    <row r="6" spans="1:9" ht="16" customHeight="1" x14ac:dyDescent="0.15">
      <c r="A6" s="63" t="s">
        <v>13</v>
      </c>
      <c r="B6" s="17" t="s">
        <v>40</v>
      </c>
      <c r="C6" s="19"/>
      <c r="D6" s="17" t="s">
        <v>40</v>
      </c>
      <c r="E6" s="19"/>
      <c r="F6" s="17" t="s">
        <v>40</v>
      </c>
      <c r="G6" s="19"/>
      <c r="H6" s="17" t="s">
        <v>40</v>
      </c>
      <c r="I6" s="19"/>
    </row>
    <row r="7" spans="1:9" ht="16" customHeight="1" x14ac:dyDescent="0.15">
      <c r="A7" s="64" t="s">
        <v>14</v>
      </c>
      <c r="B7" s="17" t="s">
        <v>40</v>
      </c>
      <c r="C7" s="19"/>
      <c r="D7" s="17" t="s">
        <v>40</v>
      </c>
      <c r="E7" s="19"/>
      <c r="F7" s="17" t="s">
        <v>40</v>
      </c>
      <c r="G7" s="19"/>
      <c r="H7" s="17" t="s">
        <v>40</v>
      </c>
      <c r="I7" s="19"/>
    </row>
    <row r="8" spans="1:9" ht="16" customHeight="1" x14ac:dyDescent="0.15">
      <c r="A8" s="64" t="s">
        <v>15</v>
      </c>
      <c r="B8" s="17" t="s">
        <v>40</v>
      </c>
      <c r="C8" s="19"/>
      <c r="D8" s="17" t="s">
        <v>40</v>
      </c>
      <c r="E8" s="19"/>
      <c r="F8" s="17" t="s">
        <v>40</v>
      </c>
      <c r="G8" s="19"/>
      <c r="H8" s="17" t="s">
        <v>40</v>
      </c>
      <c r="I8" s="19"/>
    </row>
    <row r="9" spans="1:9" ht="16" customHeight="1" x14ac:dyDescent="0.15">
      <c r="A9" s="64" t="s">
        <v>16</v>
      </c>
      <c r="B9" s="17" t="s">
        <v>40</v>
      </c>
      <c r="C9" s="19"/>
      <c r="D9" s="17" t="s">
        <v>40</v>
      </c>
      <c r="E9" s="19"/>
      <c r="F9" s="17" t="s">
        <v>40</v>
      </c>
      <c r="G9" s="19"/>
      <c r="H9" s="17" t="s">
        <v>40</v>
      </c>
      <c r="I9" s="19"/>
    </row>
    <row r="10" spans="1:9" ht="16" customHeight="1" x14ac:dyDescent="0.15">
      <c r="A10" s="64" t="s">
        <v>17</v>
      </c>
      <c r="B10" s="17" t="s">
        <v>40</v>
      </c>
      <c r="C10" s="19"/>
      <c r="D10" s="17" t="s">
        <v>40</v>
      </c>
      <c r="E10" s="19"/>
      <c r="F10" s="17" t="s">
        <v>40</v>
      </c>
      <c r="G10" s="19"/>
      <c r="H10" s="17" t="s">
        <v>40</v>
      </c>
      <c r="I10" s="19"/>
    </row>
    <row r="11" spans="1:9" ht="16" customHeight="1" x14ac:dyDescent="0.15">
      <c r="A11" s="64" t="s">
        <v>18</v>
      </c>
      <c r="B11" s="17" t="s">
        <v>40</v>
      </c>
      <c r="C11" s="19"/>
      <c r="D11" s="17" t="s">
        <v>40</v>
      </c>
      <c r="E11" s="19"/>
      <c r="F11" s="17" t="s">
        <v>40</v>
      </c>
      <c r="G11" s="19"/>
      <c r="H11" s="17" t="s">
        <v>40</v>
      </c>
      <c r="I11" s="19"/>
    </row>
    <row r="12" spans="1:9" ht="16" customHeight="1" x14ac:dyDescent="0.15">
      <c r="A12" s="64" t="s">
        <v>19</v>
      </c>
      <c r="B12" s="17" t="s">
        <v>40</v>
      </c>
      <c r="C12" s="19"/>
      <c r="D12" s="17" t="s">
        <v>40</v>
      </c>
      <c r="E12" s="19"/>
      <c r="F12" s="17" t="s">
        <v>40</v>
      </c>
      <c r="G12" s="19"/>
      <c r="H12" s="17" t="s">
        <v>40</v>
      </c>
      <c r="I12" s="19"/>
    </row>
    <row r="13" spans="1:9" ht="16" customHeight="1" x14ac:dyDescent="0.15">
      <c r="A13" s="64" t="s">
        <v>20</v>
      </c>
      <c r="B13" s="17" t="s">
        <v>40</v>
      </c>
      <c r="C13" s="19"/>
      <c r="D13" s="17" t="s">
        <v>40</v>
      </c>
      <c r="E13" s="19"/>
      <c r="F13" s="17" t="s">
        <v>40</v>
      </c>
      <c r="G13" s="19"/>
      <c r="H13" s="17" t="s">
        <v>40</v>
      </c>
      <c r="I13" s="19"/>
    </row>
    <row r="14" spans="1:9" ht="16" customHeight="1" x14ac:dyDescent="0.15">
      <c r="A14" s="64" t="s">
        <v>21</v>
      </c>
      <c r="B14" s="20" t="s">
        <v>56</v>
      </c>
      <c r="C14" s="19"/>
      <c r="D14" s="20"/>
      <c r="E14" s="19"/>
      <c r="F14" s="20"/>
      <c r="G14" s="19"/>
      <c r="H14" s="20" t="s">
        <v>76</v>
      </c>
      <c r="I14" s="19"/>
    </row>
    <row r="15" spans="1:9" ht="16" customHeight="1" x14ac:dyDescent="0.15">
      <c r="A15" s="64" t="s">
        <v>22</v>
      </c>
      <c r="B15" s="20" t="s">
        <v>56</v>
      </c>
      <c r="C15" s="19"/>
      <c r="D15" s="20"/>
      <c r="E15" s="19"/>
      <c r="F15" s="20"/>
      <c r="G15" s="19"/>
      <c r="H15" s="20" t="s">
        <v>76</v>
      </c>
      <c r="I15" s="19"/>
    </row>
    <row r="16" spans="1:9" ht="16" customHeight="1" x14ac:dyDescent="0.15">
      <c r="A16" s="64" t="s">
        <v>23</v>
      </c>
      <c r="B16" s="20"/>
      <c r="C16" s="19"/>
      <c r="D16" s="20"/>
      <c r="E16" s="19"/>
      <c r="F16" s="20"/>
      <c r="G16" s="19"/>
      <c r="H16" s="20" t="s">
        <v>76</v>
      </c>
      <c r="I16" s="19"/>
    </row>
    <row r="17" spans="1:9" ht="16" customHeight="1" x14ac:dyDescent="0.15">
      <c r="A17" s="64" t="s">
        <v>24</v>
      </c>
      <c r="B17" s="20"/>
      <c r="C17" s="19" t="s">
        <v>71</v>
      </c>
      <c r="D17" s="20"/>
      <c r="E17" s="19" t="s">
        <v>71</v>
      </c>
      <c r="F17" s="20"/>
      <c r="G17" s="19" t="s">
        <v>71</v>
      </c>
      <c r="H17" s="20" t="s">
        <v>76</v>
      </c>
      <c r="I17" s="19" t="s">
        <v>71</v>
      </c>
    </row>
    <row r="18" spans="1:9" ht="16" customHeight="1" x14ac:dyDescent="0.15">
      <c r="A18" s="64" t="s">
        <v>25</v>
      </c>
      <c r="B18" s="20"/>
      <c r="C18" s="19" t="s">
        <v>71</v>
      </c>
      <c r="D18" s="20"/>
      <c r="E18" s="19" t="s">
        <v>71</v>
      </c>
      <c r="F18" s="20"/>
      <c r="G18" s="19" t="s">
        <v>71</v>
      </c>
      <c r="H18" s="20" t="s">
        <v>76</v>
      </c>
      <c r="I18" s="19" t="s">
        <v>71</v>
      </c>
    </row>
    <row r="19" spans="1:9" ht="16" customHeight="1" x14ac:dyDescent="0.15">
      <c r="A19" s="64" t="s">
        <v>26</v>
      </c>
      <c r="B19" s="20"/>
      <c r="C19" s="19" t="s">
        <v>71</v>
      </c>
      <c r="D19" s="20"/>
      <c r="E19" s="19" t="s">
        <v>71</v>
      </c>
      <c r="F19" s="20"/>
      <c r="G19" s="19" t="s">
        <v>71</v>
      </c>
      <c r="H19" s="20" t="s">
        <v>76</v>
      </c>
      <c r="I19" s="19" t="s">
        <v>71</v>
      </c>
    </row>
    <row r="20" spans="1:9" ht="16" customHeight="1" x14ac:dyDescent="0.15">
      <c r="A20" s="64" t="s">
        <v>27</v>
      </c>
      <c r="B20" s="20"/>
      <c r="C20" s="19" t="s">
        <v>71</v>
      </c>
      <c r="D20" s="20"/>
      <c r="E20" s="19" t="s">
        <v>71</v>
      </c>
      <c r="F20" s="20"/>
      <c r="G20" s="19" t="s">
        <v>71</v>
      </c>
      <c r="H20" s="20" t="s">
        <v>76</v>
      </c>
      <c r="I20" s="19" t="s">
        <v>71</v>
      </c>
    </row>
    <row r="21" spans="1:9" ht="16" customHeight="1" x14ac:dyDescent="0.15">
      <c r="A21" s="64" t="s">
        <v>28</v>
      </c>
      <c r="B21" s="20"/>
      <c r="C21" s="19" t="s">
        <v>71</v>
      </c>
      <c r="D21" s="20"/>
      <c r="E21" s="19" t="s">
        <v>71</v>
      </c>
      <c r="F21" s="20"/>
      <c r="G21" s="19" t="s">
        <v>71</v>
      </c>
      <c r="H21" s="20" t="s">
        <v>76</v>
      </c>
      <c r="I21" s="19" t="s">
        <v>71</v>
      </c>
    </row>
    <row r="22" spans="1:9" ht="16" customHeight="1" x14ac:dyDescent="0.15">
      <c r="A22" s="64" t="s">
        <v>29</v>
      </c>
      <c r="B22" s="20"/>
      <c r="C22" s="19" t="s">
        <v>48</v>
      </c>
      <c r="D22" s="20"/>
      <c r="E22" s="19" t="s">
        <v>48</v>
      </c>
      <c r="F22" s="20"/>
      <c r="G22" s="19" t="s">
        <v>48</v>
      </c>
      <c r="H22" s="20" t="s">
        <v>76</v>
      </c>
      <c r="I22" s="19" t="s">
        <v>48</v>
      </c>
    </row>
    <row r="23" spans="1:9" ht="16" customHeight="1" x14ac:dyDescent="0.15">
      <c r="A23" s="64" t="s">
        <v>30</v>
      </c>
      <c r="B23" s="20"/>
      <c r="C23" s="19" t="s">
        <v>48</v>
      </c>
      <c r="D23" s="20"/>
      <c r="E23" s="19" t="s">
        <v>48</v>
      </c>
      <c r="F23" s="20"/>
      <c r="G23" s="19" t="s">
        <v>48</v>
      </c>
      <c r="H23" s="20" t="s">
        <v>76</v>
      </c>
      <c r="I23" s="19" t="s">
        <v>48</v>
      </c>
    </row>
    <row r="24" spans="1:9" ht="16" customHeight="1" x14ac:dyDescent="0.15">
      <c r="A24" s="64" t="s">
        <v>31</v>
      </c>
      <c r="B24" s="20"/>
      <c r="C24" s="19" t="s">
        <v>48</v>
      </c>
      <c r="D24" s="20"/>
      <c r="E24" s="19" t="s">
        <v>48</v>
      </c>
      <c r="F24" s="20"/>
      <c r="G24" s="19" t="s">
        <v>48</v>
      </c>
      <c r="H24" s="20" t="s">
        <v>76</v>
      </c>
      <c r="I24" s="19" t="s">
        <v>48</v>
      </c>
    </row>
    <row r="25" spans="1:9" ht="16" customHeight="1" x14ac:dyDescent="0.15">
      <c r="A25" s="64" t="s">
        <v>32</v>
      </c>
      <c r="B25" s="28"/>
      <c r="C25" s="19" t="s">
        <v>48</v>
      </c>
      <c r="D25" s="28"/>
      <c r="E25" s="19" t="s">
        <v>48</v>
      </c>
      <c r="F25" s="28"/>
      <c r="G25" s="19" t="s">
        <v>48</v>
      </c>
      <c r="H25" s="28" t="s">
        <v>76</v>
      </c>
      <c r="I25" s="19" t="s">
        <v>48</v>
      </c>
    </row>
    <row r="26" spans="1:9" ht="16" customHeight="1" x14ac:dyDescent="0.15">
      <c r="A26" s="64" t="s">
        <v>33</v>
      </c>
      <c r="B26" s="28"/>
      <c r="C26" s="19" t="s">
        <v>48</v>
      </c>
      <c r="D26" s="28"/>
      <c r="E26" s="19" t="s">
        <v>48</v>
      </c>
      <c r="F26" s="28"/>
      <c r="G26" s="19" t="s">
        <v>48</v>
      </c>
      <c r="H26" s="28" t="s">
        <v>76</v>
      </c>
      <c r="I26" s="19" t="s">
        <v>48</v>
      </c>
    </row>
    <row r="27" spans="1:9" ht="16" customHeight="1" x14ac:dyDescent="0.15">
      <c r="A27" s="64" t="s">
        <v>34</v>
      </c>
      <c r="B27" s="28"/>
      <c r="C27" s="19" t="s">
        <v>46</v>
      </c>
      <c r="D27" s="28"/>
      <c r="E27" s="19" t="s">
        <v>46</v>
      </c>
      <c r="F27" s="28" t="s">
        <v>46</v>
      </c>
      <c r="G27" s="19" t="s">
        <v>46</v>
      </c>
      <c r="H27" s="28" t="s">
        <v>46</v>
      </c>
      <c r="I27" s="19" t="s">
        <v>46</v>
      </c>
    </row>
    <row r="28" spans="1:9" ht="16" customHeight="1" x14ac:dyDescent="0.15">
      <c r="A28" s="64" t="s">
        <v>35</v>
      </c>
      <c r="B28" s="28"/>
      <c r="C28" s="19" t="s">
        <v>46</v>
      </c>
      <c r="D28" s="28"/>
      <c r="E28" s="19" t="s">
        <v>46</v>
      </c>
      <c r="F28" s="28" t="s">
        <v>46</v>
      </c>
      <c r="G28" s="19" t="s">
        <v>46</v>
      </c>
      <c r="H28" s="28" t="s">
        <v>46</v>
      </c>
      <c r="I28" s="19" t="s">
        <v>46</v>
      </c>
    </row>
    <row r="29" spans="1:9" ht="16" customHeight="1" x14ac:dyDescent="0.15">
      <c r="A29" s="64" t="s">
        <v>36</v>
      </c>
      <c r="B29" s="28"/>
      <c r="C29" s="19" t="s">
        <v>46</v>
      </c>
      <c r="D29" s="28"/>
      <c r="E29" s="19" t="s">
        <v>46</v>
      </c>
      <c r="F29" s="28" t="s">
        <v>46</v>
      </c>
      <c r="G29" s="19" t="s">
        <v>46</v>
      </c>
      <c r="H29" s="28" t="s">
        <v>46</v>
      </c>
      <c r="I29" s="19" t="s">
        <v>46</v>
      </c>
    </row>
    <row r="30" spans="1:9" ht="16" customHeight="1" x14ac:dyDescent="0.15">
      <c r="A30" s="63" t="s">
        <v>37</v>
      </c>
      <c r="B30" s="44"/>
      <c r="C30" s="19" t="s">
        <v>46</v>
      </c>
      <c r="D30" s="44"/>
      <c r="E30" s="19" t="s">
        <v>46</v>
      </c>
      <c r="F30" s="44" t="s">
        <v>46</v>
      </c>
      <c r="G30" s="19" t="s">
        <v>46</v>
      </c>
      <c r="H30" s="44" t="s">
        <v>46</v>
      </c>
      <c r="I30" s="19" t="s">
        <v>46</v>
      </c>
    </row>
    <row r="31" spans="1:9" ht="16" customHeight="1" x14ac:dyDescent="0.15">
      <c r="A31" s="63" t="s">
        <v>38</v>
      </c>
      <c r="B31" s="28"/>
      <c r="C31" s="25" t="s">
        <v>46</v>
      </c>
      <c r="D31" s="28"/>
      <c r="E31" s="25" t="s">
        <v>46</v>
      </c>
      <c r="F31" s="28" t="s">
        <v>46</v>
      </c>
      <c r="G31" s="25" t="s">
        <v>46</v>
      </c>
      <c r="H31" s="28" t="s">
        <v>46</v>
      </c>
      <c r="I31" s="25" t="s">
        <v>46</v>
      </c>
    </row>
    <row r="32" spans="1:9" ht="16" customHeight="1" x14ac:dyDescent="0.15">
      <c r="A32" s="65" t="s">
        <v>39</v>
      </c>
      <c r="B32" s="44"/>
      <c r="C32" s="25" t="s">
        <v>46</v>
      </c>
      <c r="D32" s="44"/>
      <c r="E32" s="25" t="s">
        <v>46</v>
      </c>
      <c r="F32" s="44"/>
      <c r="G32" s="25" t="s">
        <v>46</v>
      </c>
      <c r="H32" s="44"/>
      <c r="I32" s="25" t="s">
        <v>46</v>
      </c>
    </row>
    <row r="33" spans="1:9" ht="16" customHeight="1" x14ac:dyDescent="0.15">
      <c r="A33" s="63" t="s">
        <v>58</v>
      </c>
      <c r="B33" s="20"/>
      <c r="C33" s="19"/>
      <c r="D33" s="20"/>
      <c r="E33" s="19"/>
      <c r="F33" s="20"/>
      <c r="G33" s="19"/>
      <c r="H33" s="20"/>
      <c r="I33" s="19"/>
    </row>
    <row r="34" spans="1:9" ht="16" customHeight="1" thickBot="1" x14ac:dyDescent="0.2">
      <c r="A34" s="63" t="s">
        <v>59</v>
      </c>
      <c r="B34" s="66"/>
      <c r="C34" s="30"/>
      <c r="D34" s="24"/>
      <c r="E34" s="25"/>
      <c r="F34" s="24"/>
      <c r="G34" s="25"/>
      <c r="H34" s="24"/>
      <c r="I34" s="25"/>
    </row>
    <row r="35" spans="1:9" ht="16" customHeight="1" thickBot="1" x14ac:dyDescent="0.2">
      <c r="A35" s="48" t="s">
        <v>43</v>
      </c>
      <c r="B35" s="21">
        <f t="shared" ref="B35:I35" si="0">(COUNTA(B3:B32))/4</f>
        <v>2.75</v>
      </c>
      <c r="C35" s="21">
        <f t="shared" si="0"/>
        <v>4</v>
      </c>
      <c r="D35" s="21">
        <f t="shared" si="0"/>
        <v>2.25</v>
      </c>
      <c r="E35" s="21">
        <f t="shared" si="0"/>
        <v>4</v>
      </c>
      <c r="F35" s="21">
        <f t="shared" si="0"/>
        <v>3.5</v>
      </c>
      <c r="G35" s="21">
        <f t="shared" si="0"/>
        <v>4</v>
      </c>
      <c r="H35" s="21">
        <f t="shared" si="0"/>
        <v>6.75</v>
      </c>
      <c r="I35" s="21">
        <f t="shared" si="0"/>
        <v>4</v>
      </c>
    </row>
    <row r="36" spans="1:9" ht="16" customHeight="1" thickBot="1" x14ac:dyDescent="0.2">
      <c r="A36" s="22" t="s">
        <v>42</v>
      </c>
      <c r="B36" s="129">
        <f>B35+C35</f>
        <v>6.75</v>
      </c>
      <c r="C36" s="130"/>
      <c r="D36" s="129">
        <f>E35+D35</f>
        <v>6.25</v>
      </c>
      <c r="E36" s="130"/>
      <c r="F36" s="129">
        <f>G35+F35</f>
        <v>7.5</v>
      </c>
      <c r="G36" s="130"/>
      <c r="H36" s="129">
        <f>I35+H35</f>
        <v>10.75</v>
      </c>
      <c r="I36" s="130"/>
    </row>
    <row r="37" spans="1:9" ht="16" customHeight="1" thickBot="1" x14ac:dyDescent="0.2">
      <c r="A37" s="36" t="s">
        <v>50</v>
      </c>
      <c r="B37" s="131">
        <v>1</v>
      </c>
      <c r="C37" s="132"/>
      <c r="D37" s="131">
        <v>2</v>
      </c>
      <c r="E37" s="132"/>
      <c r="F37" s="131">
        <v>3</v>
      </c>
      <c r="G37" s="132"/>
      <c r="H37" s="131">
        <v>4</v>
      </c>
      <c r="I37" s="132"/>
    </row>
    <row r="38" spans="1:9" ht="16" customHeight="1" thickBot="1" x14ac:dyDescent="0.2"/>
    <row r="39" spans="1:9" ht="18" thickBot="1" x14ac:dyDescent="0.2">
      <c r="A39" s="32" t="s">
        <v>8</v>
      </c>
      <c r="B39" s="33">
        <f>SUM(B35:I35)</f>
        <v>31.25</v>
      </c>
      <c r="C39" s="14"/>
      <c r="D39" s="14"/>
      <c r="E39" s="14"/>
      <c r="F39" s="14"/>
      <c r="G39" s="14"/>
      <c r="H39" s="14"/>
      <c r="I39" s="14"/>
    </row>
    <row r="40" spans="1:9" ht="18" thickBot="1" x14ac:dyDescent="0.2">
      <c r="A40" s="34" t="s">
        <v>49</v>
      </c>
      <c r="B40" s="35">
        <v>30</v>
      </c>
      <c r="C40" s="1"/>
      <c r="D40" s="1"/>
      <c r="E40" s="1"/>
      <c r="F40" s="1"/>
      <c r="G40" s="1"/>
      <c r="H40" s="1"/>
      <c r="I40" s="1"/>
    </row>
    <row r="41" spans="1:9" ht="18" thickBot="1" x14ac:dyDescent="0.2">
      <c r="A41" s="3" t="s">
        <v>4</v>
      </c>
      <c r="B41" s="12">
        <f>B39*B40</f>
        <v>937.5</v>
      </c>
      <c r="C41" s="1"/>
    </row>
    <row r="42" spans="1:9" ht="16" customHeight="1" x14ac:dyDescent="0.15">
      <c r="A42" s="2"/>
      <c r="B42" s="2"/>
      <c r="C42" s="2"/>
    </row>
  </sheetData>
  <mergeCells count="8">
    <mergeCell ref="H36:I36"/>
    <mergeCell ref="H37:I37"/>
    <mergeCell ref="B36:C36"/>
    <mergeCell ref="D36:E36"/>
    <mergeCell ref="B37:C37"/>
    <mergeCell ref="D37:E37"/>
    <mergeCell ref="F36:G36"/>
    <mergeCell ref="F37:G37"/>
  </mergeCells>
  <phoneticPr fontId="3" type="noConversion"/>
  <conditionalFormatting sqref="B40:B41">
    <cfRule type="cellIs" dxfId="7" priority="2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A8D9-09F4-494E-9B5F-D7CC47B479B4}">
  <sheetPr>
    <pageSetUpPr fitToPage="1"/>
  </sheetPr>
  <dimension ref="A1:C34"/>
  <sheetViews>
    <sheetView showGridLines="0" zoomScale="120" zoomScaleNormal="120" workbookViewId="0">
      <selection activeCell="B24" sqref="B24:B26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3" width="12.5" customWidth="1"/>
  </cols>
  <sheetData>
    <row r="1" spans="1:3" s="10" customFormat="1" ht="16" customHeight="1" thickBot="1" x14ac:dyDescent="0.2">
      <c r="A1" s="38" t="s">
        <v>2</v>
      </c>
      <c r="B1" s="7">
        <v>45992</v>
      </c>
      <c r="C1" s="7">
        <v>45994</v>
      </c>
    </row>
    <row r="2" spans="1:3" ht="17" thickBot="1" x14ac:dyDescent="0.2">
      <c r="A2" s="61" t="s">
        <v>1</v>
      </c>
      <c r="B2" s="53" t="s">
        <v>5</v>
      </c>
      <c r="C2" s="53" t="s">
        <v>0</v>
      </c>
    </row>
    <row r="3" spans="1:3" ht="16" customHeight="1" x14ac:dyDescent="0.15">
      <c r="A3" s="62" t="s">
        <v>10</v>
      </c>
      <c r="B3" s="17"/>
      <c r="C3" s="18"/>
    </row>
    <row r="4" spans="1:3" ht="16" customHeight="1" x14ac:dyDescent="0.15">
      <c r="A4" s="63" t="s">
        <v>11</v>
      </c>
      <c r="B4" s="17"/>
      <c r="C4" s="19"/>
    </row>
    <row r="5" spans="1:3" ht="16" customHeight="1" x14ac:dyDescent="0.15">
      <c r="A5" s="63" t="s">
        <v>12</v>
      </c>
      <c r="B5" s="19" t="s">
        <v>74</v>
      </c>
      <c r="C5" s="19"/>
    </row>
    <row r="6" spans="1:3" ht="16" customHeight="1" x14ac:dyDescent="0.15">
      <c r="A6" s="63" t="s">
        <v>13</v>
      </c>
      <c r="B6" s="19" t="s">
        <v>74</v>
      </c>
      <c r="C6" s="19"/>
    </row>
    <row r="7" spans="1:3" ht="16" customHeight="1" x14ac:dyDescent="0.15">
      <c r="A7" s="64" t="s">
        <v>14</v>
      </c>
      <c r="B7" s="19" t="s">
        <v>74</v>
      </c>
      <c r="C7" s="19"/>
    </row>
    <row r="8" spans="1:3" ht="16" customHeight="1" x14ac:dyDescent="0.15">
      <c r="A8" s="64" t="s">
        <v>15</v>
      </c>
      <c r="B8" s="19" t="s">
        <v>74</v>
      </c>
      <c r="C8" s="19"/>
    </row>
    <row r="9" spans="1:3" ht="16" customHeight="1" x14ac:dyDescent="0.15">
      <c r="A9" s="64" t="s">
        <v>16</v>
      </c>
      <c r="B9" s="19" t="s">
        <v>74</v>
      </c>
      <c r="C9" s="19"/>
    </row>
    <row r="10" spans="1:3" ht="16" customHeight="1" x14ac:dyDescent="0.15">
      <c r="A10" s="64" t="s">
        <v>17</v>
      </c>
      <c r="B10" s="19" t="s">
        <v>74</v>
      </c>
      <c r="C10" s="19"/>
    </row>
    <row r="11" spans="1:3" ht="16" customHeight="1" x14ac:dyDescent="0.15">
      <c r="A11" s="64" t="s">
        <v>18</v>
      </c>
      <c r="B11" s="19" t="s">
        <v>75</v>
      </c>
      <c r="C11" s="19"/>
    </row>
    <row r="12" spans="1:3" ht="16" customHeight="1" x14ac:dyDescent="0.15">
      <c r="A12" s="64" t="s">
        <v>19</v>
      </c>
      <c r="B12" s="19" t="s">
        <v>75</v>
      </c>
      <c r="C12" s="19"/>
    </row>
    <row r="13" spans="1:3" ht="16" customHeight="1" x14ac:dyDescent="0.15">
      <c r="A13" s="64" t="s">
        <v>20</v>
      </c>
      <c r="B13" s="19" t="s">
        <v>75</v>
      </c>
      <c r="C13" s="19"/>
    </row>
    <row r="14" spans="1:3" ht="16" customHeight="1" x14ac:dyDescent="0.15">
      <c r="A14" s="64" t="s">
        <v>21</v>
      </c>
      <c r="B14" s="19" t="s">
        <v>75</v>
      </c>
      <c r="C14" s="19"/>
    </row>
    <row r="15" spans="1:3" ht="16" customHeight="1" x14ac:dyDescent="0.15">
      <c r="A15" s="64" t="s">
        <v>22</v>
      </c>
      <c r="B15" s="19" t="s">
        <v>75</v>
      </c>
      <c r="C15" s="19"/>
    </row>
    <row r="16" spans="1:3" ht="16" customHeight="1" x14ac:dyDescent="0.15">
      <c r="A16" s="64" t="s">
        <v>23</v>
      </c>
      <c r="B16" s="19" t="s">
        <v>75</v>
      </c>
      <c r="C16" s="19"/>
    </row>
    <row r="17" spans="1:3" ht="16" customHeight="1" x14ac:dyDescent="0.15">
      <c r="A17" s="64" t="s">
        <v>24</v>
      </c>
      <c r="B17" s="19"/>
      <c r="C17" s="19" t="s">
        <v>71</v>
      </c>
    </row>
    <row r="18" spans="1:3" ht="16" customHeight="1" x14ac:dyDescent="0.15">
      <c r="A18" s="64" t="s">
        <v>25</v>
      </c>
      <c r="B18" s="20"/>
      <c r="C18" s="19" t="s">
        <v>71</v>
      </c>
    </row>
    <row r="19" spans="1:3" ht="16" customHeight="1" x14ac:dyDescent="0.15">
      <c r="A19" s="64" t="s">
        <v>26</v>
      </c>
      <c r="B19" s="20"/>
      <c r="C19" s="19" t="s">
        <v>71</v>
      </c>
    </row>
    <row r="20" spans="1:3" ht="16" customHeight="1" x14ac:dyDescent="0.15">
      <c r="A20" s="64" t="s">
        <v>27</v>
      </c>
      <c r="B20" s="20"/>
      <c r="C20" s="19" t="s">
        <v>71</v>
      </c>
    </row>
    <row r="21" spans="1:3" ht="16" customHeight="1" x14ac:dyDescent="0.15">
      <c r="A21" s="64" t="s">
        <v>28</v>
      </c>
      <c r="B21" s="20"/>
      <c r="C21" s="19" t="s">
        <v>71</v>
      </c>
    </row>
    <row r="22" spans="1:3" ht="16" customHeight="1" x14ac:dyDescent="0.15">
      <c r="A22" s="64" t="s">
        <v>29</v>
      </c>
      <c r="B22" s="20"/>
      <c r="C22" s="19" t="s">
        <v>71</v>
      </c>
    </row>
    <row r="23" spans="1:3" ht="16" customHeight="1" x14ac:dyDescent="0.15">
      <c r="A23" s="64" t="s">
        <v>30</v>
      </c>
      <c r="B23" s="20"/>
      <c r="C23" s="19" t="s">
        <v>73</v>
      </c>
    </row>
    <row r="24" spans="1:3" ht="16" customHeight="1" x14ac:dyDescent="0.15">
      <c r="A24" s="64" t="s">
        <v>31</v>
      </c>
      <c r="B24" s="20"/>
      <c r="C24" s="19" t="s">
        <v>73</v>
      </c>
    </row>
    <row r="25" spans="1:3" ht="16" customHeight="1" x14ac:dyDescent="0.15">
      <c r="A25" s="64" t="s">
        <v>32</v>
      </c>
      <c r="B25" s="20"/>
      <c r="C25" s="19" t="s">
        <v>73</v>
      </c>
    </row>
    <row r="26" spans="1:3" ht="16" customHeight="1" thickBot="1" x14ac:dyDescent="0.2">
      <c r="A26" s="64" t="s">
        <v>33</v>
      </c>
      <c r="B26" s="20"/>
      <c r="C26" s="19" t="s">
        <v>73</v>
      </c>
    </row>
    <row r="27" spans="1:3" ht="16" customHeight="1" thickBot="1" x14ac:dyDescent="0.2">
      <c r="A27" s="48" t="s">
        <v>43</v>
      </c>
      <c r="B27" s="21">
        <f>(COUNTA(B3:B26))/4</f>
        <v>3</v>
      </c>
      <c r="C27" s="21">
        <f>(COUNTA(C3:C26))/4</f>
        <v>2.5</v>
      </c>
    </row>
    <row r="28" spans="1:3" ht="16" customHeight="1" thickBot="1" x14ac:dyDescent="0.2">
      <c r="A28" s="22" t="s">
        <v>42</v>
      </c>
      <c r="B28" s="129">
        <f>B27+C27</f>
        <v>5.5</v>
      </c>
      <c r="C28" s="130"/>
    </row>
    <row r="29" spans="1:3" ht="16" customHeight="1" thickBot="1" x14ac:dyDescent="0.2">
      <c r="A29" s="36" t="s">
        <v>50</v>
      </c>
      <c r="B29" s="131">
        <v>1</v>
      </c>
      <c r="C29" s="132"/>
    </row>
    <row r="30" spans="1:3" ht="16" customHeight="1" thickBot="1" x14ac:dyDescent="0.2"/>
    <row r="31" spans="1:3" ht="18" thickBot="1" x14ac:dyDescent="0.2">
      <c r="A31" s="32" t="s">
        <v>8</v>
      </c>
      <c r="B31" s="33">
        <f>SUM(B27:C27)</f>
        <v>5.5</v>
      </c>
      <c r="C31" s="14"/>
    </row>
    <row r="32" spans="1:3" ht="18" thickBot="1" x14ac:dyDescent="0.2">
      <c r="A32" s="34" t="s">
        <v>49</v>
      </c>
      <c r="B32" s="35">
        <v>30</v>
      </c>
      <c r="C32" s="1"/>
    </row>
    <row r="33" spans="1:3" ht="18" thickBot="1" x14ac:dyDescent="0.2">
      <c r="A33" s="3" t="s">
        <v>4</v>
      </c>
      <c r="B33" s="12">
        <f>B31*B32</f>
        <v>165</v>
      </c>
      <c r="C33" s="1"/>
    </row>
    <row r="34" spans="1:3" ht="16" customHeight="1" x14ac:dyDescent="0.15">
      <c r="A34" s="2"/>
      <c r="B34" s="2"/>
      <c r="C34" s="2"/>
    </row>
  </sheetData>
  <mergeCells count="2">
    <mergeCell ref="B28:C28"/>
    <mergeCell ref="B29:C29"/>
  </mergeCells>
  <conditionalFormatting sqref="B32:B33">
    <cfRule type="cellIs" dxfId="6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DB03-9073-7C4B-91C3-996970FFB069}">
  <sheetPr>
    <pageSetUpPr fitToPage="1"/>
  </sheetPr>
  <dimension ref="A1:C34"/>
  <sheetViews>
    <sheetView showGridLines="0" zoomScale="120" zoomScaleNormal="120" workbookViewId="0">
      <selection activeCell="B32" sqref="B32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3" width="12.5" customWidth="1"/>
  </cols>
  <sheetData>
    <row r="1" spans="1:1" s="10" customFormat="1" ht="16" customHeight="1" thickBot="1" x14ac:dyDescent="0.2">
      <c r="A1" s="38" t="s">
        <v>2</v>
      </c>
    </row>
    <row r="2" spans="1:1" thickBot="1" x14ac:dyDescent="0.2">
      <c r="A2" s="61" t="s">
        <v>1</v>
      </c>
    </row>
    <row r="3" spans="1:1" ht="16" customHeight="1" x14ac:dyDescent="0.15">
      <c r="A3" s="62" t="s">
        <v>10</v>
      </c>
    </row>
    <row r="4" spans="1:1" ht="16" customHeight="1" x14ac:dyDescent="0.15">
      <c r="A4" s="63" t="s">
        <v>11</v>
      </c>
    </row>
    <row r="5" spans="1:1" ht="16" customHeight="1" x14ac:dyDescent="0.15">
      <c r="A5" s="63" t="s">
        <v>12</v>
      </c>
    </row>
    <row r="6" spans="1:1" ht="16" customHeight="1" x14ac:dyDescent="0.15">
      <c r="A6" s="63" t="s">
        <v>13</v>
      </c>
    </row>
    <row r="7" spans="1:1" ht="16" customHeight="1" x14ac:dyDescent="0.15">
      <c r="A7" s="64" t="s">
        <v>14</v>
      </c>
    </row>
    <row r="8" spans="1:1" ht="16" customHeight="1" x14ac:dyDescent="0.15">
      <c r="A8" s="64" t="s">
        <v>15</v>
      </c>
    </row>
    <row r="9" spans="1:1" ht="16" customHeight="1" x14ac:dyDescent="0.15">
      <c r="A9" s="64" t="s">
        <v>16</v>
      </c>
    </row>
    <row r="10" spans="1:1" ht="16" customHeight="1" x14ac:dyDescent="0.15">
      <c r="A10" s="64" t="s">
        <v>17</v>
      </c>
    </row>
    <row r="11" spans="1:1" ht="16" customHeight="1" x14ac:dyDescent="0.15">
      <c r="A11" s="64" t="s">
        <v>18</v>
      </c>
    </row>
    <row r="12" spans="1:1" ht="16" customHeight="1" x14ac:dyDescent="0.15">
      <c r="A12" s="64" t="s">
        <v>19</v>
      </c>
    </row>
    <row r="13" spans="1:1" ht="16" customHeight="1" x14ac:dyDescent="0.15">
      <c r="A13" s="64" t="s">
        <v>20</v>
      </c>
    </row>
    <row r="14" spans="1:1" ht="16" customHeight="1" x14ac:dyDescent="0.15">
      <c r="A14" s="64" t="s">
        <v>21</v>
      </c>
    </row>
    <row r="15" spans="1:1" ht="16" customHeight="1" x14ac:dyDescent="0.15">
      <c r="A15" s="64" t="s">
        <v>22</v>
      </c>
    </row>
    <row r="16" spans="1:1" ht="16" customHeight="1" x14ac:dyDescent="0.15">
      <c r="A16" s="64" t="s">
        <v>23</v>
      </c>
    </row>
    <row r="17" spans="1:3" ht="16" customHeight="1" x14ac:dyDescent="0.15">
      <c r="A17" s="64" t="s">
        <v>24</v>
      </c>
    </row>
    <row r="18" spans="1:3" ht="16" customHeight="1" x14ac:dyDescent="0.15">
      <c r="A18" s="64" t="s">
        <v>25</v>
      </c>
    </row>
    <row r="19" spans="1:3" ht="16" customHeight="1" x14ac:dyDescent="0.15">
      <c r="A19" s="64" t="s">
        <v>26</v>
      </c>
    </row>
    <row r="20" spans="1:3" ht="16" customHeight="1" x14ac:dyDescent="0.15">
      <c r="A20" s="64" t="s">
        <v>27</v>
      </c>
    </row>
    <row r="21" spans="1:3" ht="16" customHeight="1" x14ac:dyDescent="0.15">
      <c r="A21" s="64" t="s">
        <v>28</v>
      </c>
    </row>
    <row r="22" spans="1:3" ht="16" customHeight="1" x14ac:dyDescent="0.15">
      <c r="A22" s="64" t="s">
        <v>29</v>
      </c>
    </row>
    <row r="23" spans="1:3" ht="16" customHeight="1" x14ac:dyDescent="0.15">
      <c r="A23" s="64" t="s">
        <v>30</v>
      </c>
    </row>
    <row r="24" spans="1:3" ht="16" customHeight="1" x14ac:dyDescent="0.15">
      <c r="A24" s="64" t="s">
        <v>31</v>
      </c>
    </row>
    <row r="25" spans="1:3" ht="16" customHeight="1" x14ac:dyDescent="0.15">
      <c r="A25" s="64" t="s">
        <v>32</v>
      </c>
    </row>
    <row r="26" spans="1:3" ht="16" customHeight="1" thickBot="1" x14ac:dyDescent="0.2">
      <c r="A26" s="64" t="s">
        <v>33</v>
      </c>
    </row>
    <row r="27" spans="1:3" ht="16" customHeight="1" thickBot="1" x14ac:dyDescent="0.2">
      <c r="A27" s="48" t="s">
        <v>43</v>
      </c>
    </row>
    <row r="28" spans="1:3" ht="16" customHeight="1" thickBot="1" x14ac:dyDescent="0.2">
      <c r="A28" s="22" t="s">
        <v>42</v>
      </c>
    </row>
    <row r="29" spans="1:3" ht="16" customHeight="1" thickBot="1" x14ac:dyDescent="0.2">
      <c r="A29" s="36" t="s">
        <v>50</v>
      </c>
    </row>
    <row r="30" spans="1:3" ht="16" customHeight="1" thickBot="1" x14ac:dyDescent="0.2"/>
    <row r="31" spans="1:3" ht="18" thickBot="1" x14ac:dyDescent="0.2">
      <c r="A31" s="32" t="s">
        <v>8</v>
      </c>
      <c r="B31" s="33">
        <f>SUM(B27)</f>
        <v>0</v>
      </c>
      <c r="C31" s="14"/>
    </row>
    <row r="32" spans="1:3" ht="18" thickBot="1" x14ac:dyDescent="0.2">
      <c r="A32" s="34" t="s">
        <v>49</v>
      </c>
      <c r="B32" s="35">
        <v>30</v>
      </c>
      <c r="C32" s="1"/>
    </row>
    <row r="33" spans="1:3" ht="18" thickBot="1" x14ac:dyDescent="0.2">
      <c r="A33" s="3" t="s">
        <v>4</v>
      </c>
      <c r="B33" s="12">
        <f>B31*B32</f>
        <v>0</v>
      </c>
      <c r="C33" s="1"/>
    </row>
    <row r="34" spans="1:3" ht="16" customHeight="1" x14ac:dyDescent="0.15">
      <c r="A34" s="2"/>
      <c r="B34" s="2"/>
      <c r="C34" s="2"/>
    </row>
  </sheetData>
  <conditionalFormatting sqref="B32:B33">
    <cfRule type="cellIs" dxfId="5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2548-B279-A04F-B12F-144280F31678}">
  <sheetPr>
    <pageSetUpPr fitToPage="1"/>
  </sheetPr>
  <dimension ref="A1:D46"/>
  <sheetViews>
    <sheetView showGridLines="0" topLeftCell="A3" zoomScale="120" zoomScaleNormal="120" workbookViewId="0">
      <selection activeCell="J34" sqref="J34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4" width="12.5" customWidth="1"/>
  </cols>
  <sheetData>
    <row r="1" spans="1:4" s="10" customFormat="1" ht="16" customHeight="1" thickBot="1" x14ac:dyDescent="0.2">
      <c r="A1" s="38" t="s">
        <v>2</v>
      </c>
      <c r="B1" s="7">
        <v>45992</v>
      </c>
      <c r="C1" s="7">
        <v>45994</v>
      </c>
      <c r="D1" s="8">
        <v>45999</v>
      </c>
    </row>
    <row r="2" spans="1:4" ht="33" thickBot="1" x14ac:dyDescent="0.2">
      <c r="A2" s="61" t="s">
        <v>1</v>
      </c>
      <c r="B2" s="53" t="s">
        <v>64</v>
      </c>
      <c r="C2" s="53" t="s">
        <v>69</v>
      </c>
      <c r="D2" s="53" t="s">
        <v>64</v>
      </c>
    </row>
    <row r="3" spans="1:4" ht="16" customHeight="1" x14ac:dyDescent="0.15">
      <c r="A3" s="62" t="s">
        <v>10</v>
      </c>
      <c r="B3" s="17"/>
      <c r="C3" s="18"/>
      <c r="D3" s="49"/>
    </row>
    <row r="4" spans="1:4" ht="16" customHeight="1" x14ac:dyDescent="0.15">
      <c r="A4" s="63" t="s">
        <v>11</v>
      </c>
      <c r="B4" s="17"/>
      <c r="C4" s="19"/>
      <c r="D4" s="49"/>
    </row>
    <row r="5" spans="1:4" ht="16" customHeight="1" x14ac:dyDescent="0.15">
      <c r="A5" s="63" t="s">
        <v>12</v>
      </c>
      <c r="B5" s="17"/>
      <c r="C5" s="19"/>
      <c r="D5" s="49"/>
    </row>
    <row r="6" spans="1:4" ht="16" customHeight="1" x14ac:dyDescent="0.15">
      <c r="A6" s="63" t="s">
        <v>13</v>
      </c>
      <c r="B6" s="17"/>
      <c r="C6" s="19"/>
      <c r="D6" s="49"/>
    </row>
    <row r="7" spans="1:4" ht="16" customHeight="1" x14ac:dyDescent="0.15">
      <c r="A7" s="64" t="s">
        <v>14</v>
      </c>
      <c r="B7" s="17"/>
      <c r="C7" s="19"/>
      <c r="D7" s="49"/>
    </row>
    <row r="8" spans="1:4" ht="16" customHeight="1" x14ac:dyDescent="0.15">
      <c r="A8" s="64" t="s">
        <v>15</v>
      </c>
      <c r="B8" s="17"/>
      <c r="C8" s="19"/>
      <c r="D8" s="49"/>
    </row>
    <row r="9" spans="1:4" ht="16" customHeight="1" x14ac:dyDescent="0.15">
      <c r="A9" s="64" t="s">
        <v>16</v>
      </c>
      <c r="B9" s="17"/>
      <c r="C9" s="19" t="s">
        <v>71</v>
      </c>
      <c r="D9" s="49"/>
    </row>
    <row r="10" spans="1:4" ht="16" customHeight="1" x14ac:dyDescent="0.15">
      <c r="A10" s="64" t="s">
        <v>17</v>
      </c>
      <c r="B10" s="17"/>
      <c r="C10" s="19" t="s">
        <v>71</v>
      </c>
      <c r="D10" s="49"/>
    </row>
    <row r="11" spans="1:4" ht="16" customHeight="1" x14ac:dyDescent="0.15">
      <c r="A11" s="64" t="s">
        <v>18</v>
      </c>
      <c r="B11" s="17"/>
      <c r="C11" s="19" t="s">
        <v>71</v>
      </c>
      <c r="D11" s="49"/>
    </row>
    <row r="12" spans="1:4" ht="16" customHeight="1" x14ac:dyDescent="0.15">
      <c r="A12" s="64" t="s">
        <v>19</v>
      </c>
      <c r="B12" s="17"/>
      <c r="C12" s="19" t="s">
        <v>71</v>
      </c>
      <c r="D12" s="49"/>
    </row>
    <row r="13" spans="1:4" ht="16" customHeight="1" x14ac:dyDescent="0.15">
      <c r="A13" s="64" t="s">
        <v>20</v>
      </c>
      <c r="B13" s="17"/>
      <c r="C13" s="19" t="s">
        <v>71</v>
      </c>
      <c r="D13" s="49"/>
    </row>
    <row r="14" spans="1:4" ht="16" customHeight="1" x14ac:dyDescent="0.15">
      <c r="A14" s="64" t="s">
        <v>21</v>
      </c>
      <c r="B14" s="20"/>
      <c r="C14" s="19" t="s">
        <v>71</v>
      </c>
      <c r="D14" s="50"/>
    </row>
    <row r="15" spans="1:4" ht="16" customHeight="1" x14ac:dyDescent="0.15">
      <c r="A15" s="64" t="s">
        <v>22</v>
      </c>
      <c r="B15" s="20"/>
      <c r="C15" s="19" t="s">
        <v>72</v>
      </c>
      <c r="D15" s="50"/>
    </row>
    <row r="16" spans="1:4" ht="16" customHeight="1" x14ac:dyDescent="0.15">
      <c r="A16" s="64" t="s">
        <v>23</v>
      </c>
      <c r="B16" s="20"/>
      <c r="C16" s="19" t="s">
        <v>72</v>
      </c>
      <c r="D16" s="50"/>
    </row>
    <row r="17" spans="1:4" ht="16" customHeight="1" x14ac:dyDescent="0.15">
      <c r="A17" s="64" t="s">
        <v>24</v>
      </c>
      <c r="B17" s="20"/>
      <c r="C17" s="19" t="s">
        <v>72</v>
      </c>
      <c r="D17" s="50"/>
    </row>
    <row r="18" spans="1:4" ht="16" customHeight="1" x14ac:dyDescent="0.15">
      <c r="A18" s="64" t="s">
        <v>25</v>
      </c>
      <c r="B18" s="20"/>
      <c r="C18" s="19" t="s">
        <v>72</v>
      </c>
      <c r="D18" s="50"/>
    </row>
    <row r="19" spans="1:4" ht="16" customHeight="1" x14ac:dyDescent="0.15">
      <c r="A19" s="64" t="s">
        <v>26</v>
      </c>
      <c r="B19" s="20"/>
      <c r="C19" s="19" t="s">
        <v>72</v>
      </c>
      <c r="D19" s="50"/>
    </row>
    <row r="20" spans="1:4" ht="16" customHeight="1" x14ac:dyDescent="0.15">
      <c r="A20" s="64" t="s">
        <v>27</v>
      </c>
      <c r="B20" s="20"/>
      <c r="C20" s="19" t="s">
        <v>72</v>
      </c>
      <c r="D20" s="50"/>
    </row>
    <row r="21" spans="1:4" ht="16" customHeight="1" x14ac:dyDescent="0.15">
      <c r="A21" s="64" t="s">
        <v>28</v>
      </c>
      <c r="B21" s="20"/>
      <c r="C21" s="19"/>
      <c r="D21" s="50"/>
    </row>
    <row r="22" spans="1:4" ht="16" customHeight="1" x14ac:dyDescent="0.15">
      <c r="A22" s="64" t="s">
        <v>29</v>
      </c>
      <c r="B22" s="20"/>
      <c r="C22" s="19"/>
      <c r="D22" s="50"/>
    </row>
    <row r="23" spans="1:4" ht="16" customHeight="1" x14ac:dyDescent="0.15">
      <c r="A23" s="64" t="s">
        <v>30</v>
      </c>
      <c r="B23" s="20"/>
      <c r="C23" s="19"/>
      <c r="D23" s="50"/>
    </row>
    <row r="24" spans="1:4" ht="16" customHeight="1" x14ac:dyDescent="0.15">
      <c r="A24" s="64" t="s">
        <v>31</v>
      </c>
      <c r="B24" s="20" t="s">
        <v>63</v>
      </c>
      <c r="C24" s="19"/>
      <c r="D24" s="50" t="s">
        <v>63</v>
      </c>
    </row>
    <row r="25" spans="1:4" ht="16" customHeight="1" x14ac:dyDescent="0.15">
      <c r="A25" s="64" t="s">
        <v>32</v>
      </c>
      <c r="B25" s="20" t="s">
        <v>63</v>
      </c>
      <c r="C25" s="19"/>
      <c r="D25" s="50" t="s">
        <v>63</v>
      </c>
    </row>
    <row r="26" spans="1:4" ht="16" customHeight="1" x14ac:dyDescent="0.15">
      <c r="A26" s="64" t="s">
        <v>33</v>
      </c>
      <c r="B26" s="20" t="s">
        <v>63</v>
      </c>
      <c r="C26" s="19"/>
      <c r="D26" s="50" t="s">
        <v>63</v>
      </c>
    </row>
    <row r="27" spans="1:4" ht="16" customHeight="1" x14ac:dyDescent="0.15">
      <c r="A27" s="64" t="s">
        <v>34</v>
      </c>
      <c r="B27" s="20" t="s">
        <v>63</v>
      </c>
      <c r="C27" s="19"/>
      <c r="D27" s="50" t="s">
        <v>63</v>
      </c>
    </row>
    <row r="28" spans="1:4" ht="16" customHeight="1" x14ac:dyDescent="0.15">
      <c r="A28" s="64" t="s">
        <v>35</v>
      </c>
      <c r="B28" s="20" t="s">
        <v>63</v>
      </c>
      <c r="C28" s="19"/>
      <c r="D28" s="50" t="s">
        <v>63</v>
      </c>
    </row>
    <row r="29" spans="1:4" ht="16" customHeight="1" x14ac:dyDescent="0.15">
      <c r="A29" s="64" t="s">
        <v>36</v>
      </c>
      <c r="B29" s="28"/>
      <c r="C29" s="19"/>
      <c r="D29" s="50"/>
    </row>
    <row r="30" spans="1:4" ht="16" customHeight="1" x14ac:dyDescent="0.15">
      <c r="A30" s="63" t="s">
        <v>37</v>
      </c>
      <c r="B30" s="44"/>
      <c r="C30" s="19"/>
      <c r="D30" s="51"/>
    </row>
    <row r="31" spans="1:4" ht="16" customHeight="1" x14ac:dyDescent="0.15">
      <c r="A31" s="63" t="s">
        <v>38</v>
      </c>
      <c r="B31" s="28" t="s">
        <v>70</v>
      </c>
      <c r="C31" s="25"/>
      <c r="D31" s="50" t="s">
        <v>70</v>
      </c>
    </row>
    <row r="32" spans="1:4" ht="16" customHeight="1" x14ac:dyDescent="0.15">
      <c r="A32" s="65" t="s">
        <v>39</v>
      </c>
      <c r="B32" s="28" t="s">
        <v>70</v>
      </c>
      <c r="C32" s="25"/>
      <c r="D32" s="50" t="s">
        <v>70</v>
      </c>
    </row>
    <row r="33" spans="1:4" ht="16" customHeight="1" x14ac:dyDescent="0.15">
      <c r="A33" s="63" t="s">
        <v>58</v>
      </c>
      <c r="B33" s="28" t="s">
        <v>70</v>
      </c>
      <c r="C33" s="19"/>
      <c r="D33" s="50" t="s">
        <v>70</v>
      </c>
    </row>
    <row r="34" spans="1:4" ht="16" customHeight="1" x14ac:dyDescent="0.15">
      <c r="A34" s="63" t="s">
        <v>59</v>
      </c>
      <c r="B34" s="28" t="s">
        <v>70</v>
      </c>
      <c r="C34" s="19"/>
      <c r="D34" s="50" t="s">
        <v>70</v>
      </c>
    </row>
    <row r="35" spans="1:4" ht="16" customHeight="1" x14ac:dyDescent="0.15">
      <c r="A35" s="63" t="s">
        <v>68</v>
      </c>
      <c r="B35" s="28" t="s">
        <v>70</v>
      </c>
      <c r="C35" s="25"/>
      <c r="D35" s="50" t="s">
        <v>70</v>
      </c>
    </row>
    <row r="36" spans="1:4" ht="16" customHeight="1" x14ac:dyDescent="0.15">
      <c r="A36" s="63" t="s">
        <v>65</v>
      </c>
      <c r="B36" s="28" t="s">
        <v>70</v>
      </c>
      <c r="C36" s="19"/>
      <c r="D36" s="50" t="s">
        <v>70</v>
      </c>
    </row>
    <row r="37" spans="1:4" ht="16" customHeight="1" x14ac:dyDescent="0.15">
      <c r="A37" s="63" t="s">
        <v>67</v>
      </c>
      <c r="B37" s="28" t="s">
        <v>70</v>
      </c>
      <c r="C37" s="25"/>
      <c r="D37" s="50" t="s">
        <v>70</v>
      </c>
    </row>
    <row r="38" spans="1:4" ht="16" customHeight="1" thickBot="1" x14ac:dyDescent="0.2">
      <c r="A38" s="63" t="s">
        <v>66</v>
      </c>
      <c r="B38" s="28" t="s">
        <v>70</v>
      </c>
      <c r="C38" s="19"/>
      <c r="D38" s="50" t="s">
        <v>70</v>
      </c>
    </row>
    <row r="39" spans="1:4" ht="16" customHeight="1" thickBot="1" x14ac:dyDescent="0.2">
      <c r="A39" s="48" t="s">
        <v>43</v>
      </c>
      <c r="B39" s="21">
        <f>(COUNTA(B3:B38))/4</f>
        <v>3.25</v>
      </c>
      <c r="C39" s="21">
        <f>(COUNTA(C3:C32))/4</f>
        <v>3</v>
      </c>
      <c r="D39" s="21">
        <f>(COUNTA(D3:D32))/4</f>
        <v>1.75</v>
      </c>
    </row>
    <row r="40" spans="1:4" ht="16" customHeight="1" thickBot="1" x14ac:dyDescent="0.2">
      <c r="A40" s="22" t="s">
        <v>42</v>
      </c>
      <c r="B40" s="129">
        <f>B39+C39</f>
        <v>6.25</v>
      </c>
      <c r="C40" s="130"/>
      <c r="D40" s="21">
        <f>D39</f>
        <v>1.75</v>
      </c>
    </row>
    <row r="41" spans="1:4" ht="16" customHeight="1" thickBot="1" x14ac:dyDescent="0.2">
      <c r="A41" s="36" t="s">
        <v>50</v>
      </c>
      <c r="B41" s="131">
        <v>1</v>
      </c>
      <c r="C41" s="132"/>
      <c r="D41" s="37">
        <v>3</v>
      </c>
    </row>
    <row r="42" spans="1:4" ht="16" customHeight="1" thickBot="1" x14ac:dyDescent="0.2"/>
    <row r="43" spans="1:4" ht="18" thickBot="1" x14ac:dyDescent="0.2">
      <c r="A43" s="32" t="s">
        <v>8</v>
      </c>
      <c r="B43" s="33">
        <f>SUM(B39:D39)</f>
        <v>8</v>
      </c>
      <c r="C43" s="14"/>
      <c r="D43" s="15"/>
    </row>
    <row r="44" spans="1:4" ht="18" thickBot="1" x14ac:dyDescent="0.2">
      <c r="A44" s="34" t="s">
        <v>49</v>
      </c>
      <c r="B44" s="35">
        <v>30</v>
      </c>
      <c r="C44" s="1"/>
      <c r="D44" s="1"/>
    </row>
    <row r="45" spans="1:4" ht="18" thickBot="1" x14ac:dyDescent="0.2">
      <c r="A45" s="3" t="s">
        <v>4</v>
      </c>
      <c r="B45" s="12">
        <f>B43*B44</f>
        <v>240</v>
      </c>
      <c r="C45" s="1"/>
    </row>
    <row r="46" spans="1:4" ht="16" customHeight="1" x14ac:dyDescent="0.15">
      <c r="A46" s="2"/>
      <c r="B46" s="2"/>
      <c r="C46" s="2"/>
    </row>
  </sheetData>
  <mergeCells count="2">
    <mergeCell ref="B40:C40"/>
    <mergeCell ref="B41:C41"/>
  </mergeCells>
  <conditionalFormatting sqref="B44:B45">
    <cfRule type="cellIs" dxfId="4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EE94-2D91-D24B-9444-CF593C3ACAE0}">
  <sheetPr>
    <pageSetUpPr fitToPage="1"/>
  </sheetPr>
  <dimension ref="A1:G42"/>
  <sheetViews>
    <sheetView showGridLines="0" zoomScale="120" zoomScaleNormal="120" workbookViewId="0">
      <selection activeCell="J12" sqref="J12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7" width="12.5" customWidth="1"/>
  </cols>
  <sheetData>
    <row r="1" spans="1:7" s="10" customFormat="1" ht="16" customHeight="1" thickBot="1" x14ac:dyDescent="0.2">
      <c r="A1" s="38" t="s">
        <v>2</v>
      </c>
      <c r="B1" s="7">
        <v>45966</v>
      </c>
      <c r="C1" s="8">
        <v>45968</v>
      </c>
      <c r="D1" s="8">
        <v>45973</v>
      </c>
      <c r="E1" s="8">
        <v>45975</v>
      </c>
      <c r="F1" s="8">
        <v>45980</v>
      </c>
      <c r="G1" s="8">
        <v>45988</v>
      </c>
    </row>
    <row r="2" spans="1:7" ht="33" thickBot="1" x14ac:dyDescent="0.2">
      <c r="A2" s="61" t="s">
        <v>1</v>
      </c>
      <c r="B2" s="6" t="s">
        <v>5</v>
      </c>
      <c r="C2" s="6" t="s">
        <v>0</v>
      </c>
      <c r="D2" s="6" t="s">
        <v>5</v>
      </c>
      <c r="E2" s="56" t="s">
        <v>0</v>
      </c>
      <c r="F2" s="6" t="s">
        <v>5</v>
      </c>
      <c r="G2" s="53" t="s">
        <v>57</v>
      </c>
    </row>
    <row r="3" spans="1:7" ht="16" customHeight="1" x14ac:dyDescent="0.15">
      <c r="A3" s="62" t="s">
        <v>10</v>
      </c>
      <c r="B3" s="17"/>
      <c r="C3" s="18"/>
      <c r="D3" s="27"/>
      <c r="E3" s="59"/>
      <c r="F3" s="49"/>
      <c r="G3" s="49"/>
    </row>
    <row r="4" spans="1:7" ht="16" customHeight="1" x14ac:dyDescent="0.15">
      <c r="A4" s="63" t="s">
        <v>11</v>
      </c>
      <c r="B4" s="17"/>
      <c r="C4" s="19"/>
      <c r="D4" s="27"/>
      <c r="E4" s="60"/>
      <c r="F4" s="49"/>
      <c r="G4" s="49"/>
    </row>
    <row r="5" spans="1:7" ht="16" customHeight="1" x14ac:dyDescent="0.15">
      <c r="A5" s="63" t="s">
        <v>12</v>
      </c>
      <c r="B5" s="17" t="s">
        <v>40</v>
      </c>
      <c r="C5" s="19"/>
      <c r="D5" s="17" t="s">
        <v>40</v>
      </c>
      <c r="E5" s="57"/>
      <c r="F5" s="49" t="s">
        <v>40</v>
      </c>
      <c r="G5" s="49"/>
    </row>
    <row r="6" spans="1:7" ht="16" customHeight="1" x14ac:dyDescent="0.15">
      <c r="A6" s="63" t="s">
        <v>13</v>
      </c>
      <c r="B6" s="17" t="s">
        <v>40</v>
      </c>
      <c r="C6" s="19"/>
      <c r="D6" s="17" t="s">
        <v>40</v>
      </c>
      <c r="E6" s="57"/>
      <c r="F6" s="49" t="s">
        <v>40</v>
      </c>
      <c r="G6" s="49"/>
    </row>
    <row r="7" spans="1:7" ht="16" customHeight="1" x14ac:dyDescent="0.15">
      <c r="A7" s="64" t="s">
        <v>14</v>
      </c>
      <c r="B7" s="17" t="s">
        <v>40</v>
      </c>
      <c r="C7" s="19"/>
      <c r="D7" s="17" t="s">
        <v>40</v>
      </c>
      <c r="E7" s="57"/>
      <c r="F7" s="49" t="s">
        <v>40</v>
      </c>
      <c r="G7" s="49"/>
    </row>
    <row r="8" spans="1:7" ht="16" customHeight="1" x14ac:dyDescent="0.15">
      <c r="A8" s="64" t="s">
        <v>15</v>
      </c>
      <c r="B8" s="17" t="s">
        <v>40</v>
      </c>
      <c r="C8" s="19"/>
      <c r="D8" s="17" t="s">
        <v>40</v>
      </c>
      <c r="E8" s="57"/>
      <c r="F8" s="49" t="s">
        <v>40</v>
      </c>
      <c r="G8" s="49"/>
    </row>
    <row r="9" spans="1:7" ht="16" customHeight="1" x14ac:dyDescent="0.15">
      <c r="A9" s="64" t="s">
        <v>16</v>
      </c>
      <c r="B9" s="17" t="s">
        <v>40</v>
      </c>
      <c r="C9" s="19"/>
      <c r="D9" s="17" t="s">
        <v>40</v>
      </c>
      <c r="E9" s="57"/>
      <c r="F9" s="49" t="s">
        <v>40</v>
      </c>
      <c r="G9" s="49"/>
    </row>
    <row r="10" spans="1:7" ht="16" customHeight="1" x14ac:dyDescent="0.15">
      <c r="A10" s="64" t="s">
        <v>17</v>
      </c>
      <c r="B10" s="17" t="s">
        <v>41</v>
      </c>
      <c r="C10" s="19"/>
      <c r="D10" s="17" t="s">
        <v>41</v>
      </c>
      <c r="E10" s="57"/>
      <c r="F10" s="49" t="s">
        <v>41</v>
      </c>
      <c r="G10" s="49"/>
    </row>
    <row r="11" spans="1:7" ht="16" customHeight="1" x14ac:dyDescent="0.15">
      <c r="A11" s="64" t="s">
        <v>18</v>
      </c>
      <c r="B11" s="17" t="s">
        <v>41</v>
      </c>
      <c r="C11" s="19"/>
      <c r="D11" s="17" t="s">
        <v>41</v>
      </c>
      <c r="E11" s="57"/>
      <c r="F11" s="49" t="s">
        <v>41</v>
      </c>
      <c r="G11" s="49"/>
    </row>
    <row r="12" spans="1:7" ht="16" customHeight="1" x14ac:dyDescent="0.15">
      <c r="A12" s="64" t="s">
        <v>19</v>
      </c>
      <c r="B12" s="17" t="s">
        <v>41</v>
      </c>
      <c r="C12" s="19"/>
      <c r="D12" s="17" t="s">
        <v>41</v>
      </c>
      <c r="E12" s="57"/>
      <c r="F12" s="49" t="s">
        <v>41</v>
      </c>
      <c r="G12" s="49"/>
    </row>
    <row r="13" spans="1:7" ht="16" customHeight="1" x14ac:dyDescent="0.15">
      <c r="A13" s="64" t="s">
        <v>20</v>
      </c>
      <c r="B13" s="17" t="s">
        <v>41</v>
      </c>
      <c r="C13" s="19"/>
      <c r="D13" s="17" t="s">
        <v>41</v>
      </c>
      <c r="E13" s="57"/>
      <c r="F13" s="49" t="s">
        <v>41</v>
      </c>
      <c r="G13" s="49"/>
    </row>
    <row r="14" spans="1:7" ht="16" customHeight="1" x14ac:dyDescent="0.15">
      <c r="A14" s="64" t="s">
        <v>21</v>
      </c>
      <c r="B14" s="20" t="s">
        <v>9</v>
      </c>
      <c r="C14" s="19"/>
      <c r="D14" s="20" t="s">
        <v>9</v>
      </c>
      <c r="E14" s="57"/>
      <c r="F14" s="50"/>
      <c r="G14" s="50"/>
    </row>
    <row r="15" spans="1:7" ht="16" customHeight="1" x14ac:dyDescent="0.15">
      <c r="A15" s="64" t="s">
        <v>22</v>
      </c>
      <c r="B15" s="20" t="s">
        <v>9</v>
      </c>
      <c r="C15" s="19"/>
      <c r="D15" s="20" t="s">
        <v>9</v>
      </c>
      <c r="E15" s="57"/>
      <c r="F15" s="50"/>
      <c r="G15" s="50"/>
    </row>
    <row r="16" spans="1:7" ht="16" customHeight="1" x14ac:dyDescent="0.15">
      <c r="A16" s="64" t="s">
        <v>23</v>
      </c>
      <c r="B16" s="20" t="s">
        <v>9</v>
      </c>
      <c r="C16" s="19"/>
      <c r="D16" s="20" t="s">
        <v>9</v>
      </c>
      <c r="E16" s="57"/>
      <c r="F16" s="50"/>
      <c r="G16" s="50"/>
    </row>
    <row r="17" spans="1:7" ht="16" customHeight="1" x14ac:dyDescent="0.15">
      <c r="A17" s="64" t="s">
        <v>24</v>
      </c>
      <c r="B17" s="20" t="s">
        <v>9</v>
      </c>
      <c r="C17" s="19" t="s">
        <v>47</v>
      </c>
      <c r="D17" s="20" t="s">
        <v>9</v>
      </c>
      <c r="E17" s="57" t="s">
        <v>47</v>
      </c>
      <c r="F17" s="50"/>
      <c r="G17" s="50"/>
    </row>
    <row r="18" spans="1:7" ht="16" customHeight="1" x14ac:dyDescent="0.15">
      <c r="A18" s="64" t="s">
        <v>25</v>
      </c>
      <c r="B18" s="20" t="s">
        <v>9</v>
      </c>
      <c r="C18" s="19" t="s">
        <v>47</v>
      </c>
      <c r="D18" s="20" t="s">
        <v>9</v>
      </c>
      <c r="E18" s="57" t="s">
        <v>47</v>
      </c>
      <c r="F18" s="50"/>
      <c r="G18" s="50"/>
    </row>
    <row r="19" spans="1:7" ht="16" customHeight="1" x14ac:dyDescent="0.15">
      <c r="A19" s="64" t="s">
        <v>26</v>
      </c>
      <c r="B19" s="20" t="s">
        <v>6</v>
      </c>
      <c r="C19" s="19" t="s">
        <v>47</v>
      </c>
      <c r="D19" s="20" t="s">
        <v>6</v>
      </c>
      <c r="E19" s="57" t="s">
        <v>47</v>
      </c>
      <c r="F19" s="50" t="s">
        <v>56</v>
      </c>
      <c r="G19" s="50"/>
    </row>
    <row r="20" spans="1:7" ht="16" customHeight="1" x14ac:dyDescent="0.15">
      <c r="A20" s="64" t="s">
        <v>27</v>
      </c>
      <c r="B20" s="20" t="s">
        <v>6</v>
      </c>
      <c r="C20" s="19" t="s">
        <v>47</v>
      </c>
      <c r="D20" s="20" t="s">
        <v>6</v>
      </c>
      <c r="E20" s="57" t="s">
        <v>47</v>
      </c>
      <c r="F20" s="50" t="s">
        <v>56</v>
      </c>
      <c r="G20" s="50"/>
    </row>
    <row r="21" spans="1:7" ht="16" customHeight="1" x14ac:dyDescent="0.15">
      <c r="A21" s="64" t="s">
        <v>28</v>
      </c>
      <c r="B21" s="20" t="s">
        <v>6</v>
      </c>
      <c r="C21" s="19" t="s">
        <v>47</v>
      </c>
      <c r="D21" s="20" t="s">
        <v>6</v>
      </c>
      <c r="E21" s="57" t="s">
        <v>47</v>
      </c>
      <c r="F21" s="50" t="s">
        <v>56</v>
      </c>
      <c r="G21" s="50" t="s">
        <v>60</v>
      </c>
    </row>
    <row r="22" spans="1:7" ht="16" customHeight="1" x14ac:dyDescent="0.15">
      <c r="A22" s="64" t="s">
        <v>29</v>
      </c>
      <c r="B22" s="20" t="s">
        <v>6</v>
      </c>
      <c r="C22" s="19" t="s">
        <v>48</v>
      </c>
      <c r="D22" s="20" t="s">
        <v>6</v>
      </c>
      <c r="E22" s="57" t="s">
        <v>48</v>
      </c>
      <c r="F22" s="50" t="s">
        <v>56</v>
      </c>
      <c r="G22" s="50" t="s">
        <v>60</v>
      </c>
    </row>
    <row r="23" spans="1:7" ht="16" customHeight="1" x14ac:dyDescent="0.15">
      <c r="A23" s="64" t="s">
        <v>30</v>
      </c>
      <c r="B23" s="20" t="s">
        <v>6</v>
      </c>
      <c r="C23" s="19" t="s">
        <v>48</v>
      </c>
      <c r="D23" s="20" t="s">
        <v>6</v>
      </c>
      <c r="E23" s="57" t="s">
        <v>48</v>
      </c>
      <c r="F23" s="50" t="s">
        <v>56</v>
      </c>
      <c r="G23" s="50" t="s">
        <v>60</v>
      </c>
    </row>
    <row r="24" spans="1:7" ht="16" customHeight="1" x14ac:dyDescent="0.15">
      <c r="A24" s="64" t="s">
        <v>31</v>
      </c>
      <c r="B24" s="20" t="s">
        <v>6</v>
      </c>
      <c r="C24" s="19" t="s">
        <v>48</v>
      </c>
      <c r="D24" s="20" t="s">
        <v>6</v>
      </c>
      <c r="E24" s="57" t="s">
        <v>48</v>
      </c>
      <c r="F24" s="50" t="s">
        <v>56</v>
      </c>
      <c r="G24" s="50" t="s">
        <v>60</v>
      </c>
    </row>
    <row r="25" spans="1:7" ht="16" customHeight="1" x14ac:dyDescent="0.15">
      <c r="A25" s="64" t="s">
        <v>32</v>
      </c>
      <c r="B25" s="28" t="s">
        <v>46</v>
      </c>
      <c r="C25" s="19" t="s">
        <v>48</v>
      </c>
      <c r="D25" s="28" t="s">
        <v>46</v>
      </c>
      <c r="E25" s="57" t="s">
        <v>48</v>
      </c>
      <c r="F25" s="50" t="s">
        <v>46</v>
      </c>
      <c r="G25" s="50" t="s">
        <v>60</v>
      </c>
    </row>
    <row r="26" spans="1:7" ht="16" customHeight="1" x14ac:dyDescent="0.15">
      <c r="A26" s="64" t="s">
        <v>33</v>
      </c>
      <c r="B26" s="28" t="s">
        <v>46</v>
      </c>
      <c r="C26" s="19" t="s">
        <v>48</v>
      </c>
      <c r="D26" s="28" t="s">
        <v>46</v>
      </c>
      <c r="E26" s="57" t="s">
        <v>48</v>
      </c>
      <c r="F26" s="50" t="s">
        <v>46</v>
      </c>
      <c r="G26" s="50" t="s">
        <v>61</v>
      </c>
    </row>
    <row r="27" spans="1:7" ht="16" customHeight="1" x14ac:dyDescent="0.15">
      <c r="A27" s="64" t="s">
        <v>34</v>
      </c>
      <c r="B27" s="28" t="s">
        <v>46</v>
      </c>
      <c r="C27" s="19" t="s">
        <v>46</v>
      </c>
      <c r="D27" s="28" t="s">
        <v>46</v>
      </c>
      <c r="E27" s="57" t="s">
        <v>46</v>
      </c>
      <c r="F27" s="50" t="s">
        <v>46</v>
      </c>
      <c r="G27" s="50" t="s">
        <v>61</v>
      </c>
    </row>
    <row r="28" spans="1:7" ht="16" customHeight="1" x14ac:dyDescent="0.15">
      <c r="A28" s="64" t="s">
        <v>35</v>
      </c>
      <c r="B28" s="28" t="s">
        <v>46</v>
      </c>
      <c r="C28" s="19" t="s">
        <v>46</v>
      </c>
      <c r="D28" s="28" t="s">
        <v>46</v>
      </c>
      <c r="E28" s="57" t="s">
        <v>46</v>
      </c>
      <c r="F28" s="50" t="s">
        <v>46</v>
      </c>
      <c r="G28" s="50" t="s">
        <v>61</v>
      </c>
    </row>
    <row r="29" spans="1:7" ht="16" customHeight="1" x14ac:dyDescent="0.15">
      <c r="A29" s="64" t="s">
        <v>36</v>
      </c>
      <c r="B29" s="28" t="s">
        <v>46</v>
      </c>
      <c r="C29" s="19" t="s">
        <v>46</v>
      </c>
      <c r="D29" s="28" t="s">
        <v>46</v>
      </c>
      <c r="E29" s="57" t="s">
        <v>46</v>
      </c>
      <c r="F29" s="50" t="s">
        <v>46</v>
      </c>
      <c r="G29" s="50" t="s">
        <v>61</v>
      </c>
    </row>
    <row r="30" spans="1:7" ht="16" customHeight="1" x14ac:dyDescent="0.15">
      <c r="A30" s="63" t="s">
        <v>37</v>
      </c>
      <c r="B30" s="44" t="s">
        <v>46</v>
      </c>
      <c r="C30" s="19" t="s">
        <v>46</v>
      </c>
      <c r="D30" s="44" t="s">
        <v>46</v>
      </c>
      <c r="E30" s="57" t="s">
        <v>46</v>
      </c>
      <c r="F30" s="51" t="s">
        <v>46</v>
      </c>
      <c r="G30" s="50" t="s">
        <v>61</v>
      </c>
    </row>
    <row r="31" spans="1:7" ht="16" customHeight="1" x14ac:dyDescent="0.15">
      <c r="A31" s="63" t="s">
        <v>38</v>
      </c>
      <c r="B31" s="28" t="s">
        <v>46</v>
      </c>
      <c r="C31" s="25" t="s">
        <v>46</v>
      </c>
      <c r="D31" s="28" t="s">
        <v>46</v>
      </c>
      <c r="E31" s="58" t="s">
        <v>46</v>
      </c>
      <c r="F31" s="50" t="s">
        <v>46</v>
      </c>
      <c r="G31" s="50" t="s">
        <v>61</v>
      </c>
    </row>
    <row r="32" spans="1:7" ht="16" customHeight="1" x14ac:dyDescent="0.15">
      <c r="A32" s="65" t="s">
        <v>39</v>
      </c>
      <c r="B32" s="44"/>
      <c r="C32" s="25" t="s">
        <v>46</v>
      </c>
      <c r="D32" s="44"/>
      <c r="E32" s="58" t="s">
        <v>46</v>
      </c>
      <c r="F32" s="51"/>
      <c r="G32" s="50" t="s">
        <v>62</v>
      </c>
    </row>
    <row r="33" spans="1:7" ht="16" customHeight="1" x14ac:dyDescent="0.15">
      <c r="A33" s="63" t="s">
        <v>58</v>
      </c>
      <c r="B33" s="20"/>
      <c r="C33" s="19"/>
      <c r="D33" s="54"/>
      <c r="E33" s="57"/>
      <c r="F33" s="50"/>
      <c r="G33" s="50" t="s">
        <v>62</v>
      </c>
    </row>
    <row r="34" spans="1:7" ht="16" customHeight="1" thickBot="1" x14ac:dyDescent="0.2">
      <c r="A34" s="63" t="s">
        <v>59</v>
      </c>
      <c r="B34" s="66"/>
      <c r="C34" s="30"/>
      <c r="D34" s="55"/>
      <c r="E34" s="58"/>
      <c r="F34" s="52"/>
      <c r="G34" s="50" t="s">
        <v>62</v>
      </c>
    </row>
    <row r="35" spans="1:7" ht="16" customHeight="1" thickBot="1" x14ac:dyDescent="0.2">
      <c r="A35" s="48" t="s">
        <v>43</v>
      </c>
      <c r="B35" s="21">
        <f>(COUNTA(B3:B32))/4</f>
        <v>6.75</v>
      </c>
      <c r="C35" s="21">
        <f>(COUNTA(C3:C32))/4</f>
        <v>4</v>
      </c>
      <c r="D35" s="21">
        <f>(COUNTA(D3:D32))/4</f>
        <v>6.75</v>
      </c>
      <c r="E35" s="21">
        <f>(COUNTA(E3:E32))/4</f>
        <v>4</v>
      </c>
      <c r="F35" s="21">
        <f>(COUNTA(F3:F32))/4</f>
        <v>5.5</v>
      </c>
      <c r="G35" s="21">
        <f>(COUNTA(G3:G34))/4</f>
        <v>3.5</v>
      </c>
    </row>
    <row r="36" spans="1:7" ht="16" customHeight="1" thickBot="1" x14ac:dyDescent="0.2">
      <c r="A36" s="22" t="s">
        <v>42</v>
      </c>
      <c r="B36" s="129">
        <f>B35+C35</f>
        <v>10.75</v>
      </c>
      <c r="C36" s="130"/>
      <c r="D36" s="129">
        <f>E35+D35</f>
        <v>10.75</v>
      </c>
      <c r="E36" s="130"/>
      <c r="F36" s="21">
        <f>F35</f>
        <v>5.5</v>
      </c>
      <c r="G36" s="21">
        <f>G35</f>
        <v>3.5</v>
      </c>
    </row>
    <row r="37" spans="1:7" ht="16" customHeight="1" thickBot="1" x14ac:dyDescent="0.2">
      <c r="A37" s="36" t="s">
        <v>50</v>
      </c>
      <c r="B37" s="131">
        <v>1</v>
      </c>
      <c r="C37" s="132"/>
      <c r="D37" s="131">
        <v>2</v>
      </c>
      <c r="E37" s="132"/>
      <c r="F37" s="37">
        <v>3</v>
      </c>
      <c r="G37" s="37">
        <v>3</v>
      </c>
    </row>
    <row r="38" spans="1:7" ht="16" customHeight="1" thickBot="1" x14ac:dyDescent="0.2"/>
    <row r="39" spans="1:7" ht="18" thickBot="1" x14ac:dyDescent="0.2">
      <c r="A39" s="32" t="s">
        <v>8</v>
      </c>
      <c r="B39" s="33">
        <f>SUM(B35:G35)</f>
        <v>30.5</v>
      </c>
      <c r="C39" s="14"/>
      <c r="D39" s="14"/>
      <c r="E39" s="14"/>
      <c r="F39" s="15"/>
      <c r="G39" s="15"/>
    </row>
    <row r="40" spans="1:7" ht="18" thickBot="1" x14ac:dyDescent="0.2">
      <c r="A40" s="34" t="s">
        <v>49</v>
      </c>
      <c r="B40" s="35">
        <v>30</v>
      </c>
      <c r="C40" s="1"/>
      <c r="D40" s="1"/>
      <c r="E40" s="1"/>
      <c r="F40" s="1"/>
      <c r="G40" s="1"/>
    </row>
    <row r="41" spans="1:7" ht="18" thickBot="1" x14ac:dyDescent="0.2">
      <c r="A41" s="3" t="s">
        <v>4</v>
      </c>
      <c r="B41" s="12">
        <f>B39*B40</f>
        <v>915</v>
      </c>
      <c r="C41" s="1"/>
    </row>
    <row r="42" spans="1:7" ht="16" customHeight="1" x14ac:dyDescent="0.15">
      <c r="A42" s="2"/>
      <c r="B42" s="2"/>
      <c r="C42" s="2"/>
    </row>
  </sheetData>
  <mergeCells count="4">
    <mergeCell ref="B36:C36"/>
    <mergeCell ref="D36:E36"/>
    <mergeCell ref="B37:C37"/>
    <mergeCell ref="D37:E37"/>
  </mergeCells>
  <conditionalFormatting sqref="B40:B41">
    <cfRule type="cellIs" dxfId="3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99BC-6215-B44A-A97C-AE934EA02BB1}">
  <sheetPr>
    <pageSetUpPr fitToPage="1"/>
  </sheetPr>
  <dimension ref="A1:H40"/>
  <sheetViews>
    <sheetView showGridLines="0" zoomScale="120" zoomScaleNormal="120" workbookViewId="0">
      <selection activeCell="H20" sqref="H20"/>
    </sheetView>
  </sheetViews>
  <sheetFormatPr baseColWidth="10" defaultRowHeight="16" customHeight="1" x14ac:dyDescent="0.15"/>
  <cols>
    <col min="1" max="1" width="16.83203125" customWidth="1"/>
    <col min="2" max="2" width="12.83203125" bestFit="1" customWidth="1"/>
    <col min="3" max="8" width="12.5" customWidth="1"/>
  </cols>
  <sheetData>
    <row r="1" spans="1:8" s="10" customFormat="1" ht="16" customHeight="1" thickBot="1" x14ac:dyDescent="0.2">
      <c r="A1" s="38" t="s">
        <v>2</v>
      </c>
      <c r="B1" s="7">
        <v>45931</v>
      </c>
      <c r="C1" s="8">
        <v>45933</v>
      </c>
      <c r="D1" s="8">
        <v>45938</v>
      </c>
      <c r="E1" s="8">
        <v>45940</v>
      </c>
      <c r="F1" s="8">
        <v>45944</v>
      </c>
      <c r="G1" s="8">
        <v>45947</v>
      </c>
      <c r="H1" s="8">
        <v>45954</v>
      </c>
    </row>
    <row r="2" spans="1:8" ht="19" customHeight="1" thickBot="1" x14ac:dyDescent="0.2">
      <c r="A2" s="39" t="s">
        <v>1</v>
      </c>
      <c r="B2" s="6" t="s">
        <v>5</v>
      </c>
      <c r="C2" s="6" t="s">
        <v>0</v>
      </c>
      <c r="D2" s="6" t="s">
        <v>5</v>
      </c>
      <c r="E2" s="6" t="s">
        <v>0</v>
      </c>
      <c r="F2" s="6" t="s">
        <v>5</v>
      </c>
      <c r="G2" s="6" t="s">
        <v>0</v>
      </c>
      <c r="H2" s="6" t="s">
        <v>0</v>
      </c>
    </row>
    <row r="3" spans="1:8" ht="16" customHeight="1" x14ac:dyDescent="0.15">
      <c r="A3" s="45" t="s">
        <v>10</v>
      </c>
      <c r="B3" s="17"/>
      <c r="C3" s="18"/>
      <c r="D3" s="27"/>
      <c r="E3" s="29"/>
      <c r="F3" s="17"/>
      <c r="G3" s="18"/>
      <c r="H3" s="49"/>
    </row>
    <row r="4" spans="1:8" ht="16" customHeight="1" x14ac:dyDescent="0.15">
      <c r="A4" s="45" t="s">
        <v>11</v>
      </c>
      <c r="B4" s="17"/>
      <c r="C4" s="19"/>
      <c r="D4" s="27"/>
      <c r="E4" s="18"/>
      <c r="F4" s="17"/>
      <c r="G4" s="19"/>
      <c r="H4" s="50"/>
    </row>
    <row r="5" spans="1:8" ht="16" customHeight="1" x14ac:dyDescent="0.15">
      <c r="A5" s="45" t="s">
        <v>12</v>
      </c>
      <c r="B5" s="17" t="s">
        <v>40</v>
      </c>
      <c r="C5" s="19"/>
      <c r="D5" s="17" t="s">
        <v>40</v>
      </c>
      <c r="E5" s="19"/>
      <c r="F5" s="17" t="s">
        <v>40</v>
      </c>
      <c r="G5" s="19"/>
      <c r="H5" s="50"/>
    </row>
    <row r="6" spans="1:8" ht="16" customHeight="1" x14ac:dyDescent="0.15">
      <c r="A6" s="45" t="s">
        <v>13</v>
      </c>
      <c r="B6" s="17" t="s">
        <v>40</v>
      </c>
      <c r="C6" s="19"/>
      <c r="D6" s="17" t="s">
        <v>40</v>
      </c>
      <c r="E6" s="19"/>
      <c r="F6" s="17" t="s">
        <v>40</v>
      </c>
      <c r="G6" s="19"/>
      <c r="H6" s="50"/>
    </row>
    <row r="7" spans="1:8" ht="16" customHeight="1" x14ac:dyDescent="0.15">
      <c r="A7" s="46" t="s">
        <v>14</v>
      </c>
      <c r="B7" s="17" t="s">
        <v>40</v>
      </c>
      <c r="C7" s="19"/>
      <c r="D7" s="17" t="s">
        <v>40</v>
      </c>
      <c r="E7" s="19"/>
      <c r="F7" s="17" t="s">
        <v>40</v>
      </c>
      <c r="G7" s="19"/>
      <c r="H7" s="50"/>
    </row>
    <row r="8" spans="1:8" ht="16" customHeight="1" x14ac:dyDescent="0.15">
      <c r="A8" s="46" t="s">
        <v>15</v>
      </c>
      <c r="B8" s="17" t="s">
        <v>40</v>
      </c>
      <c r="C8" s="19"/>
      <c r="D8" s="17" t="s">
        <v>40</v>
      </c>
      <c r="E8" s="19"/>
      <c r="F8" s="17" t="s">
        <v>40</v>
      </c>
      <c r="G8" s="19"/>
      <c r="H8" s="50"/>
    </row>
    <row r="9" spans="1:8" ht="16" customHeight="1" x14ac:dyDescent="0.15">
      <c r="A9" s="46" t="s">
        <v>16</v>
      </c>
      <c r="B9" s="17" t="s">
        <v>40</v>
      </c>
      <c r="C9" s="19"/>
      <c r="D9" s="17" t="s">
        <v>40</v>
      </c>
      <c r="E9" s="19"/>
      <c r="F9" s="17" t="s">
        <v>40</v>
      </c>
      <c r="G9" s="19"/>
      <c r="H9" s="50"/>
    </row>
    <row r="10" spans="1:8" ht="16" customHeight="1" x14ac:dyDescent="0.15">
      <c r="A10" s="46" t="s">
        <v>17</v>
      </c>
      <c r="B10" s="17" t="s">
        <v>41</v>
      </c>
      <c r="C10" s="19"/>
      <c r="D10" s="17" t="s">
        <v>41</v>
      </c>
      <c r="E10" s="19"/>
      <c r="F10" s="17" t="s">
        <v>41</v>
      </c>
      <c r="G10" s="19"/>
      <c r="H10" s="50"/>
    </row>
    <row r="11" spans="1:8" ht="16" customHeight="1" x14ac:dyDescent="0.15">
      <c r="A11" s="46" t="s">
        <v>18</v>
      </c>
      <c r="B11" s="17" t="s">
        <v>41</v>
      </c>
      <c r="C11" s="19"/>
      <c r="D11" s="17" t="s">
        <v>41</v>
      </c>
      <c r="E11" s="19"/>
      <c r="F11" s="17" t="s">
        <v>41</v>
      </c>
      <c r="G11" s="19"/>
      <c r="H11" s="50"/>
    </row>
    <row r="12" spans="1:8" ht="16" customHeight="1" x14ac:dyDescent="0.15">
      <c r="A12" s="46" t="s">
        <v>19</v>
      </c>
      <c r="B12" s="17" t="s">
        <v>41</v>
      </c>
      <c r="C12" s="19"/>
      <c r="D12" s="17" t="s">
        <v>41</v>
      </c>
      <c r="E12" s="19"/>
      <c r="F12" s="17" t="s">
        <v>41</v>
      </c>
      <c r="G12" s="19"/>
      <c r="H12" s="50"/>
    </row>
    <row r="13" spans="1:8" ht="16" customHeight="1" x14ac:dyDescent="0.15">
      <c r="A13" s="46" t="s">
        <v>20</v>
      </c>
      <c r="B13" s="17" t="s">
        <v>41</v>
      </c>
      <c r="C13" s="19"/>
      <c r="D13" s="17" t="s">
        <v>41</v>
      </c>
      <c r="E13" s="19"/>
      <c r="F13" s="17" t="s">
        <v>41</v>
      </c>
      <c r="G13" s="19"/>
      <c r="H13" s="50"/>
    </row>
    <row r="14" spans="1:8" ht="16" customHeight="1" x14ac:dyDescent="0.15">
      <c r="A14" s="46" t="s">
        <v>21</v>
      </c>
      <c r="B14" s="20" t="s">
        <v>9</v>
      </c>
      <c r="C14" s="19"/>
      <c r="D14" s="20" t="s">
        <v>9</v>
      </c>
      <c r="E14" s="19"/>
      <c r="F14" s="20" t="s">
        <v>9</v>
      </c>
      <c r="G14" s="19"/>
      <c r="H14" s="50"/>
    </row>
    <row r="15" spans="1:8" ht="16" customHeight="1" x14ac:dyDescent="0.15">
      <c r="A15" s="46" t="s">
        <v>22</v>
      </c>
      <c r="B15" s="20" t="s">
        <v>9</v>
      </c>
      <c r="C15" s="19"/>
      <c r="D15" s="20" t="s">
        <v>9</v>
      </c>
      <c r="E15" s="19"/>
      <c r="F15" s="20" t="s">
        <v>9</v>
      </c>
      <c r="G15" s="19"/>
      <c r="H15" s="50"/>
    </row>
    <row r="16" spans="1:8" ht="16" customHeight="1" x14ac:dyDescent="0.15">
      <c r="A16" s="46" t="s">
        <v>23</v>
      </c>
      <c r="B16" s="20" t="s">
        <v>9</v>
      </c>
      <c r="C16" s="19"/>
      <c r="D16" s="20" t="s">
        <v>9</v>
      </c>
      <c r="E16" s="19"/>
      <c r="F16" s="20" t="s">
        <v>9</v>
      </c>
      <c r="G16" s="19"/>
      <c r="H16" s="50"/>
    </row>
    <row r="17" spans="1:8" ht="16" customHeight="1" x14ac:dyDescent="0.15">
      <c r="A17" s="46" t="s">
        <v>24</v>
      </c>
      <c r="B17" s="20" t="s">
        <v>9</v>
      </c>
      <c r="C17" s="19" t="s">
        <v>47</v>
      </c>
      <c r="D17" s="20" t="s">
        <v>9</v>
      </c>
      <c r="E17" s="19" t="s">
        <v>47</v>
      </c>
      <c r="F17" s="20" t="s">
        <v>9</v>
      </c>
      <c r="G17" s="19" t="s">
        <v>47</v>
      </c>
      <c r="H17" s="50" t="s">
        <v>47</v>
      </c>
    </row>
    <row r="18" spans="1:8" ht="16" customHeight="1" x14ac:dyDescent="0.15">
      <c r="A18" s="46" t="s">
        <v>25</v>
      </c>
      <c r="B18" s="20" t="s">
        <v>9</v>
      </c>
      <c r="C18" s="19" t="s">
        <v>47</v>
      </c>
      <c r="D18" s="20" t="s">
        <v>9</v>
      </c>
      <c r="E18" s="19" t="s">
        <v>47</v>
      </c>
      <c r="F18" s="20" t="s">
        <v>9</v>
      </c>
      <c r="G18" s="19" t="s">
        <v>47</v>
      </c>
      <c r="H18" s="50" t="s">
        <v>47</v>
      </c>
    </row>
    <row r="19" spans="1:8" ht="16" customHeight="1" x14ac:dyDescent="0.15">
      <c r="A19" s="46" t="s">
        <v>26</v>
      </c>
      <c r="B19" s="20" t="s">
        <v>6</v>
      </c>
      <c r="C19" s="19" t="s">
        <v>47</v>
      </c>
      <c r="D19" s="20" t="s">
        <v>6</v>
      </c>
      <c r="E19" s="19" t="s">
        <v>47</v>
      </c>
      <c r="F19" s="20" t="s">
        <v>6</v>
      </c>
      <c r="G19" s="19" t="s">
        <v>47</v>
      </c>
      <c r="H19" s="50" t="s">
        <v>47</v>
      </c>
    </row>
    <row r="20" spans="1:8" ht="16" customHeight="1" x14ac:dyDescent="0.15">
      <c r="A20" s="46" t="s">
        <v>27</v>
      </c>
      <c r="B20" s="20" t="s">
        <v>6</v>
      </c>
      <c r="C20" s="19" t="s">
        <v>47</v>
      </c>
      <c r="D20" s="20" t="s">
        <v>6</v>
      </c>
      <c r="E20" s="19" t="s">
        <v>47</v>
      </c>
      <c r="F20" s="20" t="s">
        <v>6</v>
      </c>
      <c r="G20" s="19" t="s">
        <v>47</v>
      </c>
      <c r="H20" s="50" t="s">
        <v>47</v>
      </c>
    </row>
    <row r="21" spans="1:8" ht="16" customHeight="1" x14ac:dyDescent="0.15">
      <c r="A21" s="46" t="s">
        <v>28</v>
      </c>
      <c r="B21" s="20" t="s">
        <v>6</v>
      </c>
      <c r="C21" s="19" t="s">
        <v>47</v>
      </c>
      <c r="D21" s="20" t="s">
        <v>6</v>
      </c>
      <c r="E21" s="19" t="s">
        <v>47</v>
      </c>
      <c r="F21" s="20" t="s">
        <v>6</v>
      </c>
      <c r="G21" s="19" t="s">
        <v>47</v>
      </c>
      <c r="H21" s="50" t="s">
        <v>47</v>
      </c>
    </row>
    <row r="22" spans="1:8" ht="16" customHeight="1" x14ac:dyDescent="0.15">
      <c r="A22" s="46" t="s">
        <v>29</v>
      </c>
      <c r="B22" s="20" t="s">
        <v>6</v>
      </c>
      <c r="C22" s="19" t="s">
        <v>48</v>
      </c>
      <c r="D22" s="20" t="s">
        <v>6</v>
      </c>
      <c r="E22" s="19" t="s">
        <v>48</v>
      </c>
      <c r="F22" s="20" t="s">
        <v>6</v>
      </c>
      <c r="G22" s="19" t="s">
        <v>48</v>
      </c>
      <c r="H22" s="50" t="s">
        <v>48</v>
      </c>
    </row>
    <row r="23" spans="1:8" ht="16" customHeight="1" x14ac:dyDescent="0.15">
      <c r="A23" s="46" t="s">
        <v>30</v>
      </c>
      <c r="B23" s="20" t="s">
        <v>6</v>
      </c>
      <c r="C23" s="19" t="s">
        <v>48</v>
      </c>
      <c r="D23" s="20" t="s">
        <v>6</v>
      </c>
      <c r="E23" s="19" t="s">
        <v>48</v>
      </c>
      <c r="F23" s="20" t="s">
        <v>6</v>
      </c>
      <c r="G23" s="19" t="s">
        <v>48</v>
      </c>
      <c r="H23" s="50" t="s">
        <v>48</v>
      </c>
    </row>
    <row r="24" spans="1:8" ht="16" customHeight="1" x14ac:dyDescent="0.15">
      <c r="A24" s="46" t="s">
        <v>31</v>
      </c>
      <c r="B24" s="20" t="s">
        <v>6</v>
      </c>
      <c r="C24" s="19" t="s">
        <v>48</v>
      </c>
      <c r="D24" s="20" t="s">
        <v>6</v>
      </c>
      <c r="E24" s="19" t="s">
        <v>48</v>
      </c>
      <c r="F24" s="20" t="s">
        <v>6</v>
      </c>
      <c r="G24" s="19" t="s">
        <v>48</v>
      </c>
      <c r="H24" s="50" t="s">
        <v>48</v>
      </c>
    </row>
    <row r="25" spans="1:8" ht="16" customHeight="1" x14ac:dyDescent="0.15">
      <c r="A25" s="46" t="s">
        <v>32</v>
      </c>
      <c r="B25" s="28" t="s">
        <v>46</v>
      </c>
      <c r="C25" s="19" t="s">
        <v>48</v>
      </c>
      <c r="D25" s="28" t="s">
        <v>46</v>
      </c>
      <c r="E25" s="19" t="s">
        <v>48</v>
      </c>
      <c r="F25" s="28" t="s">
        <v>46</v>
      </c>
      <c r="G25" s="19" t="s">
        <v>48</v>
      </c>
      <c r="H25" s="50" t="s">
        <v>48</v>
      </c>
    </row>
    <row r="26" spans="1:8" ht="16" customHeight="1" x14ac:dyDescent="0.15">
      <c r="A26" s="46" t="s">
        <v>33</v>
      </c>
      <c r="B26" s="28" t="s">
        <v>46</v>
      </c>
      <c r="C26" s="19" t="s">
        <v>48</v>
      </c>
      <c r="D26" s="28" t="s">
        <v>46</v>
      </c>
      <c r="E26" s="19" t="s">
        <v>48</v>
      </c>
      <c r="F26" s="28" t="s">
        <v>46</v>
      </c>
      <c r="G26" s="19" t="s">
        <v>48</v>
      </c>
      <c r="H26" s="50" t="s">
        <v>48</v>
      </c>
    </row>
    <row r="27" spans="1:8" ht="16" customHeight="1" x14ac:dyDescent="0.15">
      <c r="A27" s="46" t="s">
        <v>34</v>
      </c>
      <c r="B27" s="28" t="s">
        <v>46</v>
      </c>
      <c r="C27" s="19" t="s">
        <v>46</v>
      </c>
      <c r="D27" s="28" t="s">
        <v>46</v>
      </c>
      <c r="E27" s="19" t="s">
        <v>46</v>
      </c>
      <c r="F27" s="28" t="s">
        <v>46</v>
      </c>
      <c r="G27" s="19" t="s">
        <v>46</v>
      </c>
      <c r="H27" s="50" t="s">
        <v>46</v>
      </c>
    </row>
    <row r="28" spans="1:8" ht="16" customHeight="1" x14ac:dyDescent="0.15">
      <c r="A28" s="46" t="s">
        <v>35</v>
      </c>
      <c r="B28" s="28" t="s">
        <v>46</v>
      </c>
      <c r="C28" s="19" t="s">
        <v>46</v>
      </c>
      <c r="D28" s="28" t="s">
        <v>46</v>
      </c>
      <c r="E28" s="19" t="s">
        <v>46</v>
      </c>
      <c r="F28" s="28" t="s">
        <v>46</v>
      </c>
      <c r="G28" s="19" t="s">
        <v>46</v>
      </c>
      <c r="H28" s="50" t="s">
        <v>46</v>
      </c>
    </row>
    <row r="29" spans="1:8" ht="16" customHeight="1" x14ac:dyDescent="0.15">
      <c r="A29" s="46" t="s">
        <v>36</v>
      </c>
      <c r="B29" s="28" t="s">
        <v>46</v>
      </c>
      <c r="C29" s="19" t="s">
        <v>46</v>
      </c>
      <c r="D29" s="28" t="s">
        <v>46</v>
      </c>
      <c r="E29" s="19" t="s">
        <v>46</v>
      </c>
      <c r="F29" s="28" t="s">
        <v>46</v>
      </c>
      <c r="G29" s="19" t="s">
        <v>46</v>
      </c>
      <c r="H29" s="50" t="s">
        <v>46</v>
      </c>
    </row>
    <row r="30" spans="1:8" ht="16" customHeight="1" x14ac:dyDescent="0.15">
      <c r="A30" s="45" t="s">
        <v>37</v>
      </c>
      <c r="B30" s="44" t="s">
        <v>46</v>
      </c>
      <c r="C30" s="19" t="s">
        <v>46</v>
      </c>
      <c r="D30" s="44" t="s">
        <v>46</v>
      </c>
      <c r="E30" s="19" t="s">
        <v>46</v>
      </c>
      <c r="F30" s="44" t="s">
        <v>46</v>
      </c>
      <c r="G30" s="19" t="s">
        <v>46</v>
      </c>
      <c r="H30" s="50" t="s">
        <v>46</v>
      </c>
    </row>
    <row r="31" spans="1:8" ht="16" customHeight="1" x14ac:dyDescent="0.15">
      <c r="A31" s="45" t="s">
        <v>38</v>
      </c>
      <c r="B31" s="28" t="s">
        <v>46</v>
      </c>
      <c r="C31" s="25" t="s">
        <v>46</v>
      </c>
      <c r="D31" s="28" t="s">
        <v>46</v>
      </c>
      <c r="E31" s="25" t="s">
        <v>46</v>
      </c>
      <c r="F31" s="28" t="s">
        <v>46</v>
      </c>
      <c r="G31" s="25" t="s">
        <v>46</v>
      </c>
      <c r="H31" s="51" t="s">
        <v>46</v>
      </c>
    </row>
    <row r="32" spans="1:8" ht="16" customHeight="1" thickBot="1" x14ac:dyDescent="0.2">
      <c r="A32" s="47" t="s">
        <v>39</v>
      </c>
      <c r="B32" s="28"/>
      <c r="C32" s="30" t="s">
        <v>46</v>
      </c>
      <c r="D32" s="28"/>
      <c r="E32" s="30" t="s">
        <v>46</v>
      </c>
      <c r="F32" s="28"/>
      <c r="G32" s="30" t="s">
        <v>46</v>
      </c>
      <c r="H32" s="52" t="s">
        <v>46</v>
      </c>
    </row>
    <row r="33" spans="1:8" ht="16" customHeight="1" thickBot="1" x14ac:dyDescent="0.2">
      <c r="A33" s="48" t="s">
        <v>43</v>
      </c>
      <c r="B33" s="21">
        <f t="shared" ref="B33:H33" si="0">(COUNTA(B3:B32))/4</f>
        <v>6.75</v>
      </c>
      <c r="C33" s="21">
        <f t="shared" si="0"/>
        <v>4</v>
      </c>
      <c r="D33" s="21">
        <f t="shared" si="0"/>
        <v>6.75</v>
      </c>
      <c r="E33" s="21">
        <f t="shared" si="0"/>
        <v>4</v>
      </c>
      <c r="F33" s="21">
        <f t="shared" si="0"/>
        <v>6.75</v>
      </c>
      <c r="G33" s="21">
        <f t="shared" si="0"/>
        <v>4</v>
      </c>
      <c r="H33" s="21">
        <f t="shared" si="0"/>
        <v>4</v>
      </c>
    </row>
    <row r="34" spans="1:8" ht="16" customHeight="1" thickBot="1" x14ac:dyDescent="0.2">
      <c r="A34" s="22" t="s">
        <v>42</v>
      </c>
      <c r="B34" s="129">
        <f>B33+C33</f>
        <v>10.75</v>
      </c>
      <c r="C34" s="130"/>
      <c r="D34" s="129">
        <f>E33+D33</f>
        <v>10.75</v>
      </c>
      <c r="E34" s="130"/>
      <c r="F34" s="129">
        <f>G33+F33</f>
        <v>10.75</v>
      </c>
      <c r="G34" s="130"/>
      <c r="H34" s="21">
        <f>SUM(H33)</f>
        <v>4</v>
      </c>
    </row>
    <row r="35" spans="1:8" ht="16" customHeight="1" thickBot="1" x14ac:dyDescent="0.2">
      <c r="A35" s="36" t="s">
        <v>50</v>
      </c>
      <c r="B35" s="131">
        <v>1</v>
      </c>
      <c r="C35" s="132"/>
      <c r="D35" s="131">
        <v>2</v>
      </c>
      <c r="E35" s="132"/>
      <c r="F35" s="131">
        <v>3</v>
      </c>
      <c r="G35" s="132"/>
      <c r="H35" s="37">
        <v>4</v>
      </c>
    </row>
    <row r="36" spans="1:8" ht="16" customHeight="1" thickBot="1" x14ac:dyDescent="0.2"/>
    <row r="37" spans="1:8" ht="18" thickBot="1" x14ac:dyDescent="0.2">
      <c r="A37" s="32" t="s">
        <v>8</v>
      </c>
      <c r="B37" s="33">
        <f>SUM(B33:H33)</f>
        <v>36.25</v>
      </c>
      <c r="C37" s="14"/>
      <c r="D37" s="14"/>
      <c r="E37" s="14"/>
      <c r="F37" s="15"/>
      <c r="G37" s="16"/>
      <c r="H37" s="16"/>
    </row>
    <row r="38" spans="1:8" ht="18" thickBot="1" x14ac:dyDescent="0.2">
      <c r="A38" s="34" t="s">
        <v>49</v>
      </c>
      <c r="B38" s="35">
        <v>30</v>
      </c>
      <c r="C38" s="1"/>
      <c r="D38" s="1"/>
      <c r="E38" s="1"/>
      <c r="F38" s="1"/>
      <c r="G38" s="1"/>
      <c r="H38" s="1"/>
    </row>
    <row r="39" spans="1:8" ht="18" thickBot="1" x14ac:dyDescent="0.2">
      <c r="A39" s="3" t="s">
        <v>4</v>
      </c>
      <c r="B39" s="12">
        <f>B37*B38</f>
        <v>1087.5</v>
      </c>
      <c r="C39" s="1"/>
    </row>
    <row r="40" spans="1:8" ht="16" customHeight="1" x14ac:dyDescent="0.15">
      <c r="A40" s="2"/>
      <c r="B40" s="2"/>
      <c r="C40" s="2"/>
    </row>
  </sheetData>
  <mergeCells count="6">
    <mergeCell ref="B34:C34"/>
    <mergeCell ref="D34:E34"/>
    <mergeCell ref="F34:G34"/>
    <mergeCell ref="B35:C35"/>
    <mergeCell ref="D35:E35"/>
    <mergeCell ref="F35:G35"/>
  </mergeCells>
  <conditionalFormatting sqref="B38:B39">
    <cfRule type="cellIs" dxfId="2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2636-89BD-0147-BC69-A9127CA2C9B8}">
  <sheetPr>
    <pageSetUpPr fitToPage="1"/>
  </sheetPr>
  <dimension ref="A1:K40"/>
  <sheetViews>
    <sheetView showGridLines="0" zoomScale="120" zoomScaleNormal="120" workbookViewId="0">
      <selection activeCell="K39" sqref="K39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10" width="12.5" customWidth="1"/>
    <col min="11" max="11" width="10.83203125" customWidth="1"/>
  </cols>
  <sheetData>
    <row r="1" spans="1:10" s="10" customFormat="1" ht="16" customHeight="1" thickBot="1" x14ac:dyDescent="0.2">
      <c r="A1" s="38" t="s">
        <v>2</v>
      </c>
      <c r="B1" s="7">
        <v>45903</v>
      </c>
      <c r="C1" s="8">
        <v>45905</v>
      </c>
      <c r="D1" s="8">
        <v>45910</v>
      </c>
      <c r="E1" s="8">
        <v>45912</v>
      </c>
      <c r="F1" s="8">
        <v>45917</v>
      </c>
      <c r="G1" s="8">
        <v>45919</v>
      </c>
      <c r="H1" s="8">
        <v>45924</v>
      </c>
      <c r="I1" s="8">
        <v>45926</v>
      </c>
      <c r="J1" s="9"/>
    </row>
    <row r="2" spans="1:10" ht="19" customHeight="1" thickBot="1" x14ac:dyDescent="0.2">
      <c r="A2" s="39" t="s">
        <v>1</v>
      </c>
      <c r="B2" s="6" t="s">
        <v>5</v>
      </c>
      <c r="C2" s="6" t="s">
        <v>0</v>
      </c>
      <c r="D2" s="6" t="s">
        <v>5</v>
      </c>
      <c r="E2" s="6" t="s">
        <v>0</v>
      </c>
      <c r="F2" s="6" t="s">
        <v>5</v>
      </c>
      <c r="G2" s="6" t="s">
        <v>0</v>
      </c>
      <c r="H2" s="6" t="s">
        <v>5</v>
      </c>
      <c r="I2" s="6" t="s">
        <v>0</v>
      </c>
      <c r="J2" s="1"/>
    </row>
    <row r="3" spans="1:10" ht="16" customHeight="1" x14ac:dyDescent="0.15">
      <c r="A3" s="45" t="s">
        <v>10</v>
      </c>
      <c r="B3" s="17" t="s">
        <v>40</v>
      </c>
      <c r="C3" s="18"/>
      <c r="D3" s="27"/>
      <c r="E3" s="29"/>
      <c r="F3" s="17"/>
      <c r="G3" s="18"/>
      <c r="H3" s="17"/>
      <c r="I3" s="18"/>
      <c r="J3" s="1"/>
    </row>
    <row r="4" spans="1:10" ht="16" customHeight="1" x14ac:dyDescent="0.15">
      <c r="A4" s="45" t="s">
        <v>11</v>
      </c>
      <c r="B4" s="17" t="s">
        <v>40</v>
      </c>
      <c r="C4" s="19"/>
      <c r="D4" s="27"/>
      <c r="E4" s="18"/>
      <c r="F4" s="17"/>
      <c r="G4" s="19"/>
      <c r="H4" s="17"/>
      <c r="I4" s="19"/>
      <c r="J4" s="1"/>
    </row>
    <row r="5" spans="1:10" ht="16" customHeight="1" x14ac:dyDescent="0.15">
      <c r="A5" s="45" t="s">
        <v>12</v>
      </c>
      <c r="B5" s="17" t="s">
        <v>40</v>
      </c>
      <c r="C5" s="19"/>
      <c r="D5" s="27" t="s">
        <v>40</v>
      </c>
      <c r="E5" s="18"/>
      <c r="F5" s="17" t="s">
        <v>40</v>
      </c>
      <c r="G5" s="19"/>
      <c r="H5" s="17" t="s">
        <v>40</v>
      </c>
      <c r="I5" s="19"/>
      <c r="J5" s="1"/>
    </row>
    <row r="6" spans="1:10" ht="16" customHeight="1" x14ac:dyDescent="0.15">
      <c r="A6" s="45" t="s">
        <v>13</v>
      </c>
      <c r="B6" s="17" t="s">
        <v>40</v>
      </c>
      <c r="C6" s="19"/>
      <c r="D6" s="27" t="s">
        <v>40</v>
      </c>
      <c r="E6" s="18"/>
      <c r="F6" s="17" t="s">
        <v>40</v>
      </c>
      <c r="G6" s="19"/>
      <c r="H6" s="17" t="s">
        <v>40</v>
      </c>
      <c r="I6" s="19"/>
      <c r="J6" s="1"/>
    </row>
    <row r="7" spans="1:10" ht="16" customHeight="1" x14ac:dyDescent="0.15">
      <c r="A7" s="46" t="s">
        <v>14</v>
      </c>
      <c r="B7" s="17" t="s">
        <v>40</v>
      </c>
      <c r="C7" s="19"/>
      <c r="D7" s="27" t="s">
        <v>40</v>
      </c>
      <c r="E7" s="18"/>
      <c r="F7" s="17" t="s">
        <v>40</v>
      </c>
      <c r="G7" s="19"/>
      <c r="H7" s="17" t="s">
        <v>40</v>
      </c>
      <c r="I7" s="19"/>
      <c r="J7" s="1"/>
    </row>
    <row r="8" spans="1:10" ht="16" customHeight="1" x14ac:dyDescent="0.15">
      <c r="A8" s="46" t="s">
        <v>15</v>
      </c>
      <c r="B8" s="17" t="s">
        <v>40</v>
      </c>
      <c r="C8" s="19"/>
      <c r="D8" s="27" t="s">
        <v>40</v>
      </c>
      <c r="E8" s="18"/>
      <c r="F8" s="17" t="s">
        <v>40</v>
      </c>
      <c r="G8" s="19"/>
      <c r="H8" s="17" t="s">
        <v>40</v>
      </c>
      <c r="I8" s="19"/>
      <c r="J8" s="1"/>
    </row>
    <row r="9" spans="1:10" ht="16" customHeight="1" x14ac:dyDescent="0.15">
      <c r="A9" s="46" t="s">
        <v>16</v>
      </c>
      <c r="B9" s="17" t="s">
        <v>40</v>
      </c>
      <c r="C9" s="19"/>
      <c r="D9" s="27" t="s">
        <v>40</v>
      </c>
      <c r="E9" s="18"/>
      <c r="F9" s="17" t="s">
        <v>40</v>
      </c>
      <c r="G9" s="19"/>
      <c r="H9" s="17" t="s">
        <v>40</v>
      </c>
      <c r="I9" s="19"/>
      <c r="J9" s="1"/>
    </row>
    <row r="10" spans="1:10" ht="16" customHeight="1" x14ac:dyDescent="0.15">
      <c r="A10" s="46" t="s">
        <v>17</v>
      </c>
      <c r="B10" s="17" t="s">
        <v>41</v>
      </c>
      <c r="C10" s="19"/>
      <c r="D10" s="27" t="s">
        <v>41</v>
      </c>
      <c r="E10" s="18"/>
      <c r="F10" s="17" t="s">
        <v>41</v>
      </c>
      <c r="G10" s="19"/>
      <c r="H10" s="17" t="s">
        <v>41</v>
      </c>
      <c r="I10" s="19"/>
      <c r="J10" s="1"/>
    </row>
    <row r="11" spans="1:10" ht="16" customHeight="1" x14ac:dyDescent="0.15">
      <c r="A11" s="46" t="s">
        <v>18</v>
      </c>
      <c r="B11" s="17" t="s">
        <v>41</v>
      </c>
      <c r="C11" s="19"/>
      <c r="D11" s="27" t="s">
        <v>41</v>
      </c>
      <c r="E11" s="18"/>
      <c r="F11" s="17" t="s">
        <v>41</v>
      </c>
      <c r="G11" s="19"/>
      <c r="H11" s="17" t="s">
        <v>41</v>
      </c>
      <c r="I11" s="19"/>
      <c r="J11" s="1"/>
    </row>
    <row r="12" spans="1:10" ht="16" customHeight="1" x14ac:dyDescent="0.15">
      <c r="A12" s="46" t="s">
        <v>19</v>
      </c>
      <c r="B12" s="17" t="s">
        <v>41</v>
      </c>
      <c r="C12" s="19"/>
      <c r="D12" s="27" t="s">
        <v>41</v>
      </c>
      <c r="E12" s="18"/>
      <c r="F12" s="17" t="s">
        <v>41</v>
      </c>
      <c r="G12" s="19"/>
      <c r="H12" s="17" t="s">
        <v>41</v>
      </c>
      <c r="I12" s="19"/>
      <c r="J12" s="1"/>
    </row>
    <row r="13" spans="1:10" ht="16" customHeight="1" x14ac:dyDescent="0.15">
      <c r="A13" s="46" t="s">
        <v>20</v>
      </c>
      <c r="B13" s="17" t="s">
        <v>41</v>
      </c>
      <c r="C13" s="19"/>
      <c r="D13" s="27" t="s">
        <v>41</v>
      </c>
      <c r="E13" s="18"/>
      <c r="F13" s="17" t="s">
        <v>41</v>
      </c>
      <c r="G13" s="19"/>
      <c r="H13" s="17" t="s">
        <v>41</v>
      </c>
      <c r="I13" s="19"/>
      <c r="J13" s="1"/>
    </row>
    <row r="14" spans="1:10" ht="16" customHeight="1" x14ac:dyDescent="0.15">
      <c r="A14" s="46" t="s">
        <v>21</v>
      </c>
      <c r="B14" s="20" t="s">
        <v>9</v>
      </c>
      <c r="C14" s="19"/>
      <c r="D14" s="28" t="s">
        <v>9</v>
      </c>
      <c r="E14" s="19"/>
      <c r="F14" s="20" t="s">
        <v>9</v>
      </c>
      <c r="G14" s="19"/>
      <c r="H14" s="20" t="s">
        <v>9</v>
      </c>
      <c r="I14" s="19"/>
      <c r="J14" s="1"/>
    </row>
    <row r="15" spans="1:10" ht="16" customHeight="1" x14ac:dyDescent="0.15">
      <c r="A15" s="46" t="s">
        <v>22</v>
      </c>
      <c r="B15" s="20" t="s">
        <v>9</v>
      </c>
      <c r="C15" s="19"/>
      <c r="D15" s="28" t="s">
        <v>9</v>
      </c>
      <c r="E15" s="19"/>
      <c r="F15" s="20" t="s">
        <v>9</v>
      </c>
      <c r="G15" s="19"/>
      <c r="H15" s="20" t="s">
        <v>9</v>
      </c>
      <c r="I15" s="19"/>
      <c r="J15" s="1"/>
    </row>
    <row r="16" spans="1:10" ht="16" customHeight="1" x14ac:dyDescent="0.15">
      <c r="A16" s="46" t="s">
        <v>23</v>
      </c>
      <c r="B16" s="20" t="s">
        <v>9</v>
      </c>
      <c r="C16" s="19"/>
      <c r="D16" s="28" t="s">
        <v>9</v>
      </c>
      <c r="E16" s="19"/>
      <c r="F16" s="20" t="s">
        <v>9</v>
      </c>
      <c r="G16" s="19"/>
      <c r="H16" s="20" t="s">
        <v>9</v>
      </c>
      <c r="I16" s="19"/>
      <c r="J16" s="1"/>
    </row>
    <row r="17" spans="1:10" ht="16" customHeight="1" x14ac:dyDescent="0.15">
      <c r="A17" s="46" t="s">
        <v>24</v>
      </c>
      <c r="B17" s="20" t="s">
        <v>9</v>
      </c>
      <c r="C17" s="19" t="s">
        <v>45</v>
      </c>
      <c r="D17" s="28" t="s">
        <v>9</v>
      </c>
      <c r="E17" s="19" t="s">
        <v>47</v>
      </c>
      <c r="F17" s="20" t="s">
        <v>9</v>
      </c>
      <c r="G17" s="19" t="s">
        <v>47</v>
      </c>
      <c r="H17" s="20" t="s">
        <v>9</v>
      </c>
      <c r="I17" s="19" t="s">
        <v>47</v>
      </c>
      <c r="J17" s="1"/>
    </row>
    <row r="18" spans="1:10" ht="16" customHeight="1" x14ac:dyDescent="0.15">
      <c r="A18" s="46" t="s">
        <v>25</v>
      </c>
      <c r="B18" s="20" t="s">
        <v>9</v>
      </c>
      <c r="C18" s="19" t="s">
        <v>45</v>
      </c>
      <c r="D18" s="28" t="s">
        <v>9</v>
      </c>
      <c r="E18" s="19" t="s">
        <v>47</v>
      </c>
      <c r="F18" s="20" t="s">
        <v>9</v>
      </c>
      <c r="G18" s="19" t="s">
        <v>47</v>
      </c>
      <c r="H18" s="20" t="s">
        <v>9</v>
      </c>
      <c r="I18" s="19" t="s">
        <v>47</v>
      </c>
      <c r="J18" s="1"/>
    </row>
    <row r="19" spans="1:10" ht="16" customHeight="1" x14ac:dyDescent="0.15">
      <c r="A19" s="46" t="s">
        <v>26</v>
      </c>
      <c r="B19" s="20" t="s">
        <v>6</v>
      </c>
      <c r="C19" s="19" t="s">
        <v>45</v>
      </c>
      <c r="D19" s="28" t="s">
        <v>6</v>
      </c>
      <c r="E19" s="19" t="s">
        <v>47</v>
      </c>
      <c r="F19" s="20" t="s">
        <v>6</v>
      </c>
      <c r="G19" s="19" t="s">
        <v>47</v>
      </c>
      <c r="H19" s="20" t="s">
        <v>6</v>
      </c>
      <c r="I19" s="19" t="s">
        <v>47</v>
      </c>
      <c r="J19" s="1"/>
    </row>
    <row r="20" spans="1:10" ht="16" customHeight="1" x14ac:dyDescent="0.15">
      <c r="A20" s="46" t="s">
        <v>27</v>
      </c>
      <c r="B20" s="20" t="s">
        <v>6</v>
      </c>
      <c r="C20" s="19" t="s">
        <v>45</v>
      </c>
      <c r="D20" s="28" t="s">
        <v>6</v>
      </c>
      <c r="E20" s="19" t="s">
        <v>47</v>
      </c>
      <c r="F20" s="20" t="s">
        <v>6</v>
      </c>
      <c r="G20" s="19" t="s">
        <v>47</v>
      </c>
      <c r="H20" s="20" t="s">
        <v>6</v>
      </c>
      <c r="I20" s="19" t="s">
        <v>47</v>
      </c>
      <c r="J20" s="1"/>
    </row>
    <row r="21" spans="1:10" ht="16" customHeight="1" x14ac:dyDescent="0.15">
      <c r="A21" s="46" t="s">
        <v>28</v>
      </c>
      <c r="B21" s="20" t="s">
        <v>6</v>
      </c>
      <c r="C21" s="19" t="s">
        <v>45</v>
      </c>
      <c r="D21" s="28" t="s">
        <v>6</v>
      </c>
      <c r="E21" s="19" t="s">
        <v>47</v>
      </c>
      <c r="F21" s="20" t="s">
        <v>6</v>
      </c>
      <c r="G21" s="19" t="s">
        <v>47</v>
      </c>
      <c r="H21" s="20" t="s">
        <v>6</v>
      </c>
      <c r="I21" s="19" t="s">
        <v>47</v>
      </c>
      <c r="J21" s="1"/>
    </row>
    <row r="22" spans="1:10" ht="16" customHeight="1" x14ac:dyDescent="0.15">
      <c r="A22" s="46" t="s">
        <v>29</v>
      </c>
      <c r="B22" s="20" t="s">
        <v>6</v>
      </c>
      <c r="C22" s="19" t="s">
        <v>9</v>
      </c>
      <c r="D22" s="28" t="s">
        <v>6</v>
      </c>
      <c r="E22" s="19" t="s">
        <v>44</v>
      </c>
      <c r="F22" s="20" t="s">
        <v>6</v>
      </c>
      <c r="G22" s="19" t="s">
        <v>48</v>
      </c>
      <c r="H22" s="20" t="s">
        <v>6</v>
      </c>
      <c r="I22" s="19" t="s">
        <v>48</v>
      </c>
      <c r="J22" s="1"/>
    </row>
    <row r="23" spans="1:10" ht="16" customHeight="1" x14ac:dyDescent="0.15">
      <c r="A23" s="46" t="s">
        <v>30</v>
      </c>
      <c r="B23" s="20" t="s">
        <v>6</v>
      </c>
      <c r="C23" s="19" t="s">
        <v>9</v>
      </c>
      <c r="D23" s="28" t="s">
        <v>6</v>
      </c>
      <c r="E23" s="19" t="s">
        <v>44</v>
      </c>
      <c r="F23" s="20" t="s">
        <v>6</v>
      </c>
      <c r="G23" s="19" t="s">
        <v>48</v>
      </c>
      <c r="H23" s="20" t="s">
        <v>6</v>
      </c>
      <c r="I23" s="19" t="s">
        <v>48</v>
      </c>
      <c r="J23" s="1"/>
    </row>
    <row r="24" spans="1:10" ht="16" customHeight="1" x14ac:dyDescent="0.15">
      <c r="A24" s="46" t="s">
        <v>31</v>
      </c>
      <c r="B24" s="20" t="s">
        <v>6</v>
      </c>
      <c r="C24" s="19" t="s">
        <v>9</v>
      </c>
      <c r="D24" s="28" t="s">
        <v>6</v>
      </c>
      <c r="E24" s="19" t="s">
        <v>44</v>
      </c>
      <c r="F24" s="20" t="s">
        <v>6</v>
      </c>
      <c r="G24" s="19" t="s">
        <v>48</v>
      </c>
      <c r="H24" s="20" t="s">
        <v>6</v>
      </c>
      <c r="I24" s="19" t="s">
        <v>48</v>
      </c>
      <c r="J24" s="1"/>
    </row>
    <row r="25" spans="1:10" ht="16" customHeight="1" x14ac:dyDescent="0.15">
      <c r="A25" s="46" t="s">
        <v>32</v>
      </c>
      <c r="B25" s="20"/>
      <c r="C25" s="19" t="s">
        <v>9</v>
      </c>
      <c r="D25" s="28" t="s">
        <v>46</v>
      </c>
      <c r="E25" s="19" t="s">
        <v>44</v>
      </c>
      <c r="F25" s="28" t="s">
        <v>46</v>
      </c>
      <c r="G25" s="19" t="s">
        <v>48</v>
      </c>
      <c r="H25" s="28" t="s">
        <v>46</v>
      </c>
      <c r="I25" s="19" t="s">
        <v>48</v>
      </c>
      <c r="J25" s="1"/>
    </row>
    <row r="26" spans="1:10" ht="16" customHeight="1" x14ac:dyDescent="0.15">
      <c r="A26" s="46" t="s">
        <v>33</v>
      </c>
      <c r="B26" s="20"/>
      <c r="C26" s="19" t="s">
        <v>9</v>
      </c>
      <c r="D26" s="28" t="s">
        <v>46</v>
      </c>
      <c r="E26" s="19" t="s">
        <v>44</v>
      </c>
      <c r="F26" s="28" t="s">
        <v>46</v>
      </c>
      <c r="G26" s="19" t="s">
        <v>48</v>
      </c>
      <c r="H26" s="28" t="s">
        <v>46</v>
      </c>
      <c r="I26" s="19" t="s">
        <v>48</v>
      </c>
      <c r="J26" s="1"/>
    </row>
    <row r="27" spans="1:10" ht="16" customHeight="1" x14ac:dyDescent="0.15">
      <c r="A27" s="46" t="s">
        <v>34</v>
      </c>
      <c r="B27" s="20"/>
      <c r="C27" s="19" t="s">
        <v>7</v>
      </c>
      <c r="D27" s="28" t="s">
        <v>46</v>
      </c>
      <c r="E27" s="19" t="s">
        <v>46</v>
      </c>
      <c r="F27" s="28" t="s">
        <v>46</v>
      </c>
      <c r="G27" s="19" t="s">
        <v>46</v>
      </c>
      <c r="H27" s="28" t="s">
        <v>46</v>
      </c>
      <c r="I27" s="19" t="s">
        <v>46</v>
      </c>
      <c r="J27" s="1"/>
    </row>
    <row r="28" spans="1:10" ht="16" customHeight="1" x14ac:dyDescent="0.15">
      <c r="A28" s="46" t="s">
        <v>35</v>
      </c>
      <c r="B28" s="20"/>
      <c r="C28" s="19" t="s">
        <v>7</v>
      </c>
      <c r="D28" s="28" t="s">
        <v>46</v>
      </c>
      <c r="E28" s="19" t="s">
        <v>46</v>
      </c>
      <c r="F28" s="28" t="s">
        <v>46</v>
      </c>
      <c r="G28" s="19" t="s">
        <v>46</v>
      </c>
      <c r="H28" s="28" t="s">
        <v>46</v>
      </c>
      <c r="I28" s="19" t="s">
        <v>46</v>
      </c>
      <c r="J28" s="1"/>
    </row>
    <row r="29" spans="1:10" ht="16" customHeight="1" x14ac:dyDescent="0.15">
      <c r="A29" s="46" t="s">
        <v>36</v>
      </c>
      <c r="B29" s="20"/>
      <c r="C29" s="19" t="s">
        <v>7</v>
      </c>
      <c r="D29" s="28" t="s">
        <v>46</v>
      </c>
      <c r="E29" s="19" t="s">
        <v>46</v>
      </c>
      <c r="F29" s="28" t="s">
        <v>46</v>
      </c>
      <c r="G29" s="19" t="s">
        <v>46</v>
      </c>
      <c r="H29" s="28" t="s">
        <v>46</v>
      </c>
      <c r="I29" s="19" t="s">
        <v>46</v>
      </c>
      <c r="J29" s="1"/>
    </row>
    <row r="30" spans="1:10" ht="16" customHeight="1" x14ac:dyDescent="0.15">
      <c r="A30" s="45" t="s">
        <v>37</v>
      </c>
      <c r="B30" s="20"/>
      <c r="C30" s="19" t="s">
        <v>7</v>
      </c>
      <c r="D30" s="44" t="s">
        <v>46</v>
      </c>
      <c r="E30" s="19" t="s">
        <v>46</v>
      </c>
      <c r="F30" s="44" t="s">
        <v>46</v>
      </c>
      <c r="G30" s="19" t="s">
        <v>46</v>
      </c>
      <c r="H30" s="44" t="s">
        <v>46</v>
      </c>
      <c r="I30" s="19" t="s">
        <v>46</v>
      </c>
      <c r="J30" s="1"/>
    </row>
    <row r="31" spans="1:10" ht="16" customHeight="1" x14ac:dyDescent="0.15">
      <c r="A31" s="45" t="s">
        <v>38</v>
      </c>
      <c r="B31" s="20"/>
      <c r="C31" s="19" t="s">
        <v>7</v>
      </c>
      <c r="D31" s="28" t="s">
        <v>46</v>
      </c>
      <c r="E31" s="25" t="s">
        <v>46</v>
      </c>
      <c r="F31" s="28" t="s">
        <v>46</v>
      </c>
      <c r="G31" s="25" t="s">
        <v>46</v>
      </c>
      <c r="H31" s="28" t="s">
        <v>46</v>
      </c>
      <c r="I31" s="25" t="s">
        <v>46</v>
      </c>
      <c r="J31" s="1"/>
    </row>
    <row r="32" spans="1:10" ht="16" customHeight="1" thickBot="1" x14ac:dyDescent="0.2">
      <c r="A32" s="47" t="s">
        <v>39</v>
      </c>
      <c r="B32" s="24"/>
      <c r="C32" s="25" t="s">
        <v>7</v>
      </c>
      <c r="D32" s="28"/>
      <c r="E32" s="30" t="s">
        <v>46</v>
      </c>
      <c r="F32" s="28"/>
      <c r="G32" s="30" t="s">
        <v>46</v>
      </c>
      <c r="H32" s="28"/>
      <c r="I32" s="30" t="s">
        <v>46</v>
      </c>
      <c r="J32" s="1"/>
    </row>
    <row r="33" spans="1:11" ht="16" customHeight="1" thickBot="1" x14ac:dyDescent="0.2">
      <c r="A33" s="48" t="s">
        <v>43</v>
      </c>
      <c r="B33" s="21">
        <f t="shared" ref="B33:I33" si="0">(COUNTA(B3:B32))/4</f>
        <v>5.5</v>
      </c>
      <c r="C33" s="21">
        <f t="shared" si="0"/>
        <v>4</v>
      </c>
      <c r="D33" s="21">
        <f t="shared" si="0"/>
        <v>6.75</v>
      </c>
      <c r="E33" s="21">
        <f t="shared" si="0"/>
        <v>4</v>
      </c>
      <c r="F33" s="21">
        <f t="shared" si="0"/>
        <v>6.75</v>
      </c>
      <c r="G33" s="21">
        <f t="shared" si="0"/>
        <v>4</v>
      </c>
      <c r="H33" s="21">
        <f t="shared" si="0"/>
        <v>6.75</v>
      </c>
      <c r="I33" s="21">
        <f t="shared" si="0"/>
        <v>4</v>
      </c>
      <c r="J33" s="1"/>
    </row>
    <row r="34" spans="1:11" ht="16" customHeight="1" thickBot="1" x14ac:dyDescent="0.2">
      <c r="A34" s="22" t="s">
        <v>42</v>
      </c>
      <c r="B34" s="129">
        <f>B33+C33</f>
        <v>9.5</v>
      </c>
      <c r="C34" s="130"/>
      <c r="D34" s="129">
        <f>E33+D33</f>
        <v>10.75</v>
      </c>
      <c r="E34" s="130"/>
      <c r="F34" s="129">
        <f>G33+F33</f>
        <v>10.75</v>
      </c>
      <c r="G34" s="130"/>
      <c r="H34" s="129">
        <f>I33+H33</f>
        <v>10.75</v>
      </c>
      <c r="I34" s="130"/>
      <c r="J34" s="1"/>
    </row>
    <row r="35" spans="1:11" ht="16" customHeight="1" thickBot="1" x14ac:dyDescent="0.2">
      <c r="A35" s="36" t="s">
        <v>50</v>
      </c>
      <c r="B35" s="131">
        <v>1</v>
      </c>
      <c r="C35" s="132"/>
      <c r="D35" s="131">
        <v>2</v>
      </c>
      <c r="E35" s="132"/>
      <c r="F35" s="131">
        <v>3</v>
      </c>
      <c r="G35" s="132"/>
      <c r="H35" s="131">
        <v>4</v>
      </c>
      <c r="I35" s="132"/>
    </row>
    <row r="36" spans="1:11" ht="16" customHeight="1" thickBot="1" x14ac:dyDescent="0.2">
      <c r="H36" s="43" t="s">
        <v>52</v>
      </c>
    </row>
    <row r="37" spans="1:11" ht="18" thickBot="1" x14ac:dyDescent="0.2">
      <c r="A37" s="32" t="s">
        <v>8</v>
      </c>
      <c r="B37" s="33">
        <f>SUM(B33:I33)</f>
        <v>41.75</v>
      </c>
      <c r="C37" s="14"/>
      <c r="D37" s="14"/>
      <c r="E37" s="14"/>
      <c r="F37" s="15"/>
      <c r="G37" s="16"/>
      <c r="H37" s="16"/>
      <c r="I37" s="16"/>
      <c r="J37" s="16"/>
      <c r="K37" s="1"/>
    </row>
    <row r="38" spans="1:11" ht="18" thickBot="1" x14ac:dyDescent="0.2">
      <c r="A38" s="34" t="s">
        <v>49</v>
      </c>
      <c r="B38" s="35">
        <v>30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ht="18" thickBot="1" x14ac:dyDescent="0.2">
      <c r="A39" s="3" t="s">
        <v>4</v>
      </c>
      <c r="B39" s="12">
        <f>B37*B38</f>
        <v>1252.5</v>
      </c>
      <c r="C39" s="1"/>
      <c r="K39" s="1"/>
    </row>
    <row r="40" spans="1:11" ht="16" customHeight="1" x14ac:dyDescent="0.15">
      <c r="A40" s="2"/>
      <c r="B40" s="2"/>
      <c r="C40" s="2"/>
    </row>
  </sheetData>
  <mergeCells count="8">
    <mergeCell ref="B34:C34"/>
    <mergeCell ref="D34:E34"/>
    <mergeCell ref="F34:G34"/>
    <mergeCell ref="H34:I34"/>
    <mergeCell ref="B35:C35"/>
    <mergeCell ref="D35:E35"/>
    <mergeCell ref="F35:G35"/>
    <mergeCell ref="H35:I35"/>
  </mergeCells>
  <phoneticPr fontId="3" type="noConversion"/>
  <conditionalFormatting sqref="B38:B39">
    <cfRule type="cellIs" dxfId="1" priority="3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showGridLines="0" zoomScale="120" zoomScaleNormal="120" workbookViewId="0">
      <selection activeCell="E24" sqref="E24"/>
    </sheetView>
  </sheetViews>
  <sheetFormatPr baseColWidth="10" defaultColWidth="11" defaultRowHeight="16" customHeight="1" x14ac:dyDescent="0.15"/>
  <cols>
    <col min="1" max="1" width="14.83203125" bestFit="1" customWidth="1"/>
    <col min="2" max="2" width="12.83203125" bestFit="1" customWidth="1"/>
    <col min="3" max="3" width="6.6640625" style="31" customWidth="1"/>
    <col min="4" max="5" width="5.83203125" style="31" customWidth="1"/>
    <col min="6" max="6" width="11" style="31" customWidth="1"/>
    <col min="7" max="16384" width="11" style="31"/>
  </cols>
  <sheetData>
    <row r="1" spans="1:2" ht="16" customHeight="1" thickBot="1" x14ac:dyDescent="0.2">
      <c r="A1" s="38" t="s">
        <v>2</v>
      </c>
      <c r="B1" s="7">
        <v>45896</v>
      </c>
    </row>
    <row r="2" spans="1:2" ht="16" customHeight="1" thickBot="1" x14ac:dyDescent="0.2">
      <c r="A2" s="39" t="s">
        <v>1</v>
      </c>
      <c r="B2" s="6" t="s">
        <v>5</v>
      </c>
    </row>
    <row r="3" spans="1:2" ht="16" customHeight="1" x14ac:dyDescent="0.15">
      <c r="A3" s="40" t="s">
        <v>10</v>
      </c>
      <c r="B3" s="18"/>
    </row>
    <row r="4" spans="1:2" ht="16" customHeight="1" x14ac:dyDescent="0.15">
      <c r="A4" s="40" t="s">
        <v>11</v>
      </c>
      <c r="B4" s="19"/>
    </row>
    <row r="5" spans="1:2" ht="16" customHeight="1" x14ac:dyDescent="0.15">
      <c r="A5" s="40" t="s">
        <v>12</v>
      </c>
      <c r="B5" s="19"/>
    </row>
    <row r="6" spans="1:2" ht="16" customHeight="1" x14ac:dyDescent="0.15">
      <c r="A6" s="40" t="s">
        <v>13</v>
      </c>
      <c r="B6" s="19"/>
    </row>
    <row r="7" spans="1:2" ht="16" customHeight="1" x14ac:dyDescent="0.15">
      <c r="A7" s="41" t="s">
        <v>14</v>
      </c>
      <c r="B7" s="19"/>
    </row>
    <row r="8" spans="1:2" ht="16" customHeight="1" x14ac:dyDescent="0.15">
      <c r="A8" s="41" t="s">
        <v>15</v>
      </c>
      <c r="B8" s="19"/>
    </row>
    <row r="9" spans="1:2" ht="16" customHeight="1" x14ac:dyDescent="0.15">
      <c r="A9" s="41" t="s">
        <v>16</v>
      </c>
      <c r="B9" s="19"/>
    </row>
    <row r="10" spans="1:2" ht="16" customHeight="1" x14ac:dyDescent="0.15">
      <c r="A10" s="41" t="s">
        <v>17</v>
      </c>
      <c r="B10" s="19"/>
    </row>
    <row r="11" spans="1:2" ht="16" customHeight="1" x14ac:dyDescent="0.15">
      <c r="A11" s="41" t="s">
        <v>18</v>
      </c>
      <c r="B11" s="19"/>
    </row>
    <row r="12" spans="1:2" ht="16" customHeight="1" x14ac:dyDescent="0.15">
      <c r="A12" s="41" t="s">
        <v>19</v>
      </c>
      <c r="B12" s="19"/>
    </row>
    <row r="13" spans="1:2" ht="16" customHeight="1" x14ac:dyDescent="0.15">
      <c r="A13" s="41" t="s">
        <v>20</v>
      </c>
      <c r="B13" s="19"/>
    </row>
    <row r="14" spans="1:2" ht="16" customHeight="1" x14ac:dyDescent="0.15">
      <c r="A14" s="41" t="s">
        <v>21</v>
      </c>
      <c r="B14" s="19" t="s">
        <v>9</v>
      </c>
    </row>
    <row r="15" spans="1:2" ht="16" customHeight="1" x14ac:dyDescent="0.15">
      <c r="A15" s="41" t="s">
        <v>22</v>
      </c>
      <c r="B15" s="19" t="s">
        <v>9</v>
      </c>
    </row>
    <row r="16" spans="1:2" ht="16" customHeight="1" x14ac:dyDescent="0.15">
      <c r="A16" s="41" t="s">
        <v>23</v>
      </c>
      <c r="B16" s="19" t="s">
        <v>9</v>
      </c>
    </row>
    <row r="17" spans="1:2" ht="16" customHeight="1" x14ac:dyDescent="0.15">
      <c r="A17" s="41" t="s">
        <v>24</v>
      </c>
      <c r="B17" s="19" t="s">
        <v>9</v>
      </c>
    </row>
    <row r="18" spans="1:2" ht="16" customHeight="1" x14ac:dyDescent="0.15">
      <c r="A18" s="41" t="s">
        <v>25</v>
      </c>
      <c r="B18" s="19" t="s">
        <v>9</v>
      </c>
    </row>
    <row r="19" spans="1:2" ht="16" customHeight="1" x14ac:dyDescent="0.15">
      <c r="A19" s="41" t="s">
        <v>26</v>
      </c>
      <c r="B19" s="19" t="s">
        <v>9</v>
      </c>
    </row>
    <row r="20" spans="1:2" ht="16" customHeight="1" x14ac:dyDescent="0.15">
      <c r="A20" s="41" t="s">
        <v>27</v>
      </c>
      <c r="B20" s="19" t="s">
        <v>6</v>
      </c>
    </row>
    <row r="21" spans="1:2" ht="16" customHeight="1" x14ac:dyDescent="0.15">
      <c r="A21" s="41" t="s">
        <v>28</v>
      </c>
      <c r="B21" s="19" t="s">
        <v>6</v>
      </c>
    </row>
    <row r="22" spans="1:2" ht="16" customHeight="1" x14ac:dyDescent="0.15">
      <c r="A22" s="41" t="s">
        <v>29</v>
      </c>
      <c r="B22" s="19" t="s">
        <v>6</v>
      </c>
    </row>
    <row r="23" spans="1:2" ht="16" customHeight="1" x14ac:dyDescent="0.15">
      <c r="A23" s="41" t="s">
        <v>30</v>
      </c>
      <c r="B23" s="19" t="s">
        <v>6</v>
      </c>
    </row>
    <row r="24" spans="1:2" ht="16" customHeight="1" x14ac:dyDescent="0.15">
      <c r="A24" s="41" t="s">
        <v>31</v>
      </c>
      <c r="B24" s="19" t="s">
        <v>6</v>
      </c>
    </row>
    <row r="25" spans="1:2" ht="16" customHeight="1" x14ac:dyDescent="0.15">
      <c r="A25" s="41" t="s">
        <v>32</v>
      </c>
      <c r="B25" s="19" t="s">
        <v>6</v>
      </c>
    </row>
    <row r="26" spans="1:2" ht="16" customHeight="1" x14ac:dyDescent="0.15">
      <c r="A26" s="41" t="s">
        <v>33</v>
      </c>
      <c r="B26" s="19"/>
    </row>
    <row r="27" spans="1:2" ht="16" customHeight="1" x14ac:dyDescent="0.15">
      <c r="A27" s="41" t="s">
        <v>34</v>
      </c>
      <c r="B27" s="19"/>
    </row>
    <row r="28" spans="1:2" ht="16" customHeight="1" x14ac:dyDescent="0.15">
      <c r="A28" s="41" t="s">
        <v>35</v>
      </c>
      <c r="B28" s="19"/>
    </row>
    <row r="29" spans="1:2" ht="16" customHeight="1" x14ac:dyDescent="0.15">
      <c r="A29" s="41" t="s">
        <v>36</v>
      </c>
      <c r="B29" s="19"/>
    </row>
    <row r="30" spans="1:2" ht="16" customHeight="1" x14ac:dyDescent="0.15">
      <c r="A30" s="40" t="s">
        <v>37</v>
      </c>
      <c r="B30" s="19"/>
    </row>
    <row r="31" spans="1:2" ht="16" customHeight="1" x14ac:dyDescent="0.15">
      <c r="A31" s="40" t="s">
        <v>38</v>
      </c>
      <c r="B31" s="19"/>
    </row>
    <row r="32" spans="1:2" ht="16" customHeight="1" thickBot="1" x14ac:dyDescent="0.2">
      <c r="A32" s="42" t="s">
        <v>39</v>
      </c>
      <c r="B32" s="25"/>
    </row>
    <row r="33" spans="1:2" ht="16" customHeight="1" thickBot="1" x14ac:dyDescent="0.2">
      <c r="A33" s="26" t="s">
        <v>43</v>
      </c>
      <c r="B33" s="21">
        <f>(COUNTA(B3:B32))/4</f>
        <v>3</v>
      </c>
    </row>
    <row r="34" spans="1:2" ht="16" customHeight="1" thickBot="1" x14ac:dyDescent="0.2">
      <c r="A34" s="22" t="s">
        <v>42</v>
      </c>
      <c r="B34" s="23">
        <f>(COUNTA(B3:B32))/4</f>
        <v>3</v>
      </c>
    </row>
    <row r="35" spans="1:2" customFormat="1" ht="16" customHeight="1" thickBot="1" x14ac:dyDescent="0.2">
      <c r="A35" s="36" t="s">
        <v>50</v>
      </c>
      <c r="B35" s="37">
        <v>4</v>
      </c>
    </row>
    <row r="36" spans="1:2" customFormat="1" ht="16" customHeight="1" x14ac:dyDescent="0.15"/>
    <row r="37" spans="1:2" ht="16" customHeight="1" thickBot="1" x14ac:dyDescent="0.2"/>
    <row r="38" spans="1:2" ht="19" x14ac:dyDescent="0.15">
      <c r="A38" s="4" t="s">
        <v>8</v>
      </c>
      <c r="B38" s="13">
        <f>SUM(B33:D33)</f>
        <v>3</v>
      </c>
    </row>
    <row r="39" spans="1:2" ht="20" thickBot="1" x14ac:dyDescent="0.2">
      <c r="A39" s="5" t="s">
        <v>3</v>
      </c>
      <c r="B39" s="11">
        <v>30</v>
      </c>
    </row>
    <row r="40" spans="1:2" ht="20" thickBot="1" x14ac:dyDescent="0.2">
      <c r="A40" s="3" t="s">
        <v>4</v>
      </c>
      <c r="B40" s="12">
        <f>B38*B39</f>
        <v>90</v>
      </c>
    </row>
    <row r="41" spans="1:2" ht="16" customHeight="1" x14ac:dyDescent="0.15">
      <c r="A41" s="2"/>
      <c r="B41" s="2"/>
    </row>
  </sheetData>
  <phoneticPr fontId="3" type="noConversion"/>
  <conditionalFormatting sqref="B39:B40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Summary</vt:lpstr>
      <vt:lpstr>JULY 2026</vt:lpstr>
      <vt:lpstr>JUNE 2026</vt:lpstr>
      <vt:lpstr>MAY 2026</vt:lpstr>
      <vt:lpstr>APRIL 2026</vt:lpstr>
      <vt:lpstr>MARCH 2026</vt:lpstr>
      <vt:lpstr>FEBRUARY 2026</vt:lpstr>
      <vt:lpstr>JANUARY 2026</vt:lpstr>
      <vt:lpstr>DECEMBER 2025</vt:lpstr>
      <vt:lpstr>NOVEMBER 2025</vt:lpstr>
      <vt:lpstr>OCTOBER 2025</vt:lpstr>
      <vt:lpstr>SEPTEMBER 2025</vt:lpstr>
      <vt:lpstr>AUGUST  2025</vt:lpstr>
      <vt:lpstr>'APRIL 2026'!Print_Area</vt:lpstr>
      <vt:lpstr>'DECEMBER 2025'!Print_Area</vt:lpstr>
      <vt:lpstr>'FEBRUARY 2026'!Print_Area</vt:lpstr>
      <vt:lpstr>'JANUARY 2026'!Print_Area</vt:lpstr>
      <vt:lpstr>'JULY 2026'!Print_Area</vt:lpstr>
      <vt:lpstr>'JUNE 2026'!Print_Area</vt:lpstr>
      <vt:lpstr>'MARCH 2026'!Print_Area</vt:lpstr>
      <vt:lpstr>'MAY 2026'!Print_Area</vt:lpstr>
      <vt:lpstr>'NOVEMBER 2025'!Print_Area</vt:lpstr>
      <vt:lpstr>'OCTOBER 2025'!Print_Area</vt:lpstr>
      <vt:lpstr>'SEPTEMBER 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Luciana Galimberti</cp:lastModifiedBy>
  <cp:lastPrinted>2024-10-25T09:40:34Z</cp:lastPrinted>
  <dcterms:created xsi:type="dcterms:W3CDTF">2023-11-02T16:02:44Z</dcterms:created>
  <dcterms:modified xsi:type="dcterms:W3CDTF">2026-04-24T21:29:47Z</dcterms:modified>
  <cp:category/>
</cp:coreProperties>
</file>