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icachu/Data analysis/Projects/Personal Earning/"/>
    </mc:Choice>
  </mc:AlternateContent>
  <xr:revisionPtr revIDLastSave="0" documentId="13_ncr:1_{F285CC96-8501-2F4B-959A-B9BAC4279C9A}" xr6:coauthVersionLast="47" xr6:coauthVersionMax="47" xr10:uidLastSave="{00000000-0000-0000-0000-000000000000}"/>
  <bookViews>
    <workbookView xWindow="-38400" yWindow="500" windowWidth="29700" windowHeight="18580" xr2:uid="{00000000-000D-0000-FFFF-FFFF00000000}"/>
  </bookViews>
  <sheets>
    <sheet name="Summary" sheetId="4" r:id="rId1"/>
    <sheet name="AUGUST 2026" sheetId="23" r:id="rId2"/>
    <sheet name="JULY 2026" sheetId="21" r:id="rId3"/>
    <sheet name="APRIL 2026" sheetId="20" r:id="rId4"/>
  </sheets>
  <definedNames>
    <definedName name="_xlnm.Print_Area" localSheetId="3">'APRIL 2026'!$A$1:$C$20</definedName>
    <definedName name="_xlnm.Print_Area" localSheetId="1">'AUGUST 2026'!$A$1:$C$20</definedName>
    <definedName name="_xlnm.Print_Area" localSheetId="2">'JULY 2026'!$A$1:$C$20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3" l="1"/>
  <c r="D10" i="23" s="1"/>
  <c r="C8" i="23"/>
  <c r="C10" i="23" s="1"/>
  <c r="B8" i="23"/>
  <c r="B10" i="23" s="1"/>
  <c r="D8" i="21"/>
  <c r="D10" i="21" s="1"/>
  <c r="B13" i="23" l="1"/>
  <c r="C7" i="4" s="1"/>
  <c r="B12" i="23"/>
  <c r="B7" i="4" s="1"/>
  <c r="C8" i="21"/>
  <c r="C10" i="21" s="1"/>
  <c r="B8" i="21"/>
  <c r="C8" i="20"/>
  <c r="C10" i="20" s="1"/>
  <c r="B8" i="20"/>
  <c r="B10" i="21" l="1"/>
  <c r="B13" i="21" s="1"/>
  <c r="C6" i="4" s="1"/>
  <c r="B12" i="21"/>
  <c r="B6" i="4" s="1"/>
  <c r="B12" i="20"/>
  <c r="B10" i="20"/>
  <c r="B13" i="20" s="1"/>
  <c r="C3" i="4" s="1"/>
  <c r="C28" i="4"/>
  <c r="B3" i="4" l="1"/>
  <c r="C15" i="4" l="1"/>
  <c r="C31" i="4" s="1"/>
  <c r="B15" i="4"/>
</calcChain>
</file>

<file path=xl/sharedStrings.xml><?xml version="1.0" encoding="utf-8"?>
<sst xmlns="http://schemas.openxmlformats.org/spreadsheetml/2006/main" count="97" uniqueCount="44">
  <si>
    <t>Friday</t>
  </si>
  <si>
    <t>Day</t>
  </si>
  <si>
    <t>Total</t>
  </si>
  <si>
    <t>Wednesday</t>
  </si>
  <si>
    <t>BENEF.</t>
  </si>
  <si>
    <t>Amount</t>
  </si>
  <si>
    <t>To Be Paid</t>
  </si>
  <si>
    <t>Details</t>
  </si>
  <si>
    <t>SEASON 25-26</t>
  </si>
  <si>
    <t>Date</t>
  </si>
  <si>
    <t>Quantity</t>
  </si>
  <si>
    <t>Type</t>
  </si>
  <si>
    <t>Expected</t>
  </si>
  <si>
    <t>Club</t>
  </si>
  <si>
    <t>Category</t>
  </si>
  <si>
    <t>Paid</t>
  </si>
  <si>
    <t>Week 06-04 / 10-04</t>
  </si>
  <si>
    <t>Valor</t>
  </si>
  <si>
    <t>TOTAL Days</t>
  </si>
  <si>
    <t>Monday</t>
  </si>
  <si>
    <t>Tuesday</t>
  </si>
  <si>
    <t>Thursday</t>
  </si>
  <si>
    <t>Camp</t>
  </si>
  <si>
    <t>DAYS</t>
  </si>
  <si>
    <t>Week 13-04 / 17-04</t>
  </si>
  <si>
    <t>Days</t>
  </si>
  <si>
    <t>Stage</t>
  </si>
  <si>
    <t>Week 01-06 / 03-06</t>
  </si>
  <si>
    <t>Week 06-07 / 10-07</t>
  </si>
  <si>
    <t>Week 13-07 / 17-07</t>
  </si>
  <si>
    <t>Week 10-08 / 14-08</t>
  </si>
  <si>
    <t>Week 17-08 / 21-08</t>
  </si>
  <si>
    <t>Week 24-08 / 28-08</t>
  </si>
  <si>
    <t>Estimated</t>
  </si>
  <si>
    <t>PHX Hockey</t>
  </si>
  <si>
    <t>PHX Hockey ASBL</t>
  </si>
  <si>
    <t>PHX Hockey (CAMP 6)</t>
  </si>
  <si>
    <t>PHX Hockey (CAMP 7)</t>
  </si>
  <si>
    <t>PHX Hockey (CAMP 8)</t>
  </si>
  <si>
    <t>PHX Hockey (CAMP 3)</t>
  </si>
  <si>
    <t>PHX Hockey (CAMP 4)</t>
  </si>
  <si>
    <t>PHX Hockey (CAMP 5)</t>
  </si>
  <si>
    <t>PHX Hockey (CAMP 1)</t>
  </si>
  <si>
    <t>PHX Hockey (CAMP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</si>
</sst>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m/d/yyyy"/>
    <numFmt numFmtId="166" formatCode="#,##0.00\ [$€-80C]"/>
    <numFmt numFmtId="167" formatCode="yyyy\-mm\-dd;@"/>
  </numFmts>
  <fonts count="16" x14ac:knownFonts="1">
    <font>
      <sz val="10"/>
      <color indexed="8"/>
      <name val="Helvetica Neue"/>
    </font>
    <font>
      <sz val="11"/>
      <color indexed="8"/>
      <name val="Calibri"/>
      <family val="2"/>
    </font>
    <font>
      <sz val="13"/>
      <color indexed="8"/>
      <name val="Calibri"/>
      <family val="2"/>
    </font>
    <font>
      <sz val="8"/>
      <name val="Helvetica Neue"/>
      <family val="2"/>
    </font>
    <font>
      <b/>
      <sz val="13"/>
      <color indexed="8"/>
      <name val="Calibri"/>
      <family val="2"/>
    </font>
    <font>
      <b/>
      <sz val="14"/>
      <color indexed="8"/>
      <name val="Calibri"/>
      <family val="2"/>
    </font>
    <font>
      <i/>
      <u/>
      <sz val="11"/>
      <color indexed="8"/>
      <name val="Calibri"/>
      <family val="2"/>
    </font>
    <font>
      <sz val="10"/>
      <color indexed="8"/>
      <name val="Helvetica Neue"/>
      <family val="2"/>
    </font>
    <font>
      <b/>
      <sz val="11"/>
      <color indexed="8"/>
      <name val="Calibri"/>
      <family val="2"/>
    </font>
    <font>
      <b/>
      <sz val="10"/>
      <color indexed="8"/>
      <name val="Helvetica Neue"/>
      <family val="2"/>
    </font>
    <font>
      <b/>
      <sz val="14"/>
      <color indexed="8"/>
      <name val="Helvetica Neue (Body)"/>
    </font>
    <font>
      <sz val="14"/>
      <color indexed="8"/>
      <name val="Helvetica Neue (Body)"/>
    </font>
    <font>
      <b/>
      <i/>
      <sz val="14"/>
      <color rgb="FF00B050"/>
      <name val="Helvetica Neue (Body)"/>
    </font>
    <font>
      <b/>
      <sz val="14"/>
      <color theme="6" tint="-0.249977111117893"/>
      <name val="Helvetica Neue (Body)"/>
    </font>
    <font>
      <b/>
      <sz val="14"/>
      <color rgb="FFC00000"/>
      <name val="Helvetica Neue (Body)"/>
    </font>
    <font>
      <sz val="14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24"/>
        <bgColor auto="1"/>
      </patternFill>
    </fill>
    <fill>
      <patternFill patternType="solid">
        <fgColor rgb="FFFFE3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3">
    <xf numFmtId="0" fontId="0" fillId="0" borderId="0" xfId="0">
      <alignment vertical="top" wrapText="1"/>
    </xf>
    <xf numFmtId="0" fontId="1" fillId="0" borderId="0" xfId="0" applyNumberFormat="1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top" wrapText="1"/>
    </xf>
    <xf numFmtId="2" fontId="0" fillId="0" borderId="0" xfId="0" applyNumberFormat="1" applyAlignment="1">
      <alignment horizontal="center" vertical="center" wrapText="1"/>
    </xf>
    <xf numFmtId="165" fontId="8" fillId="5" borderId="4" xfId="0" applyNumberFormat="1" applyFont="1" applyFill="1" applyBorder="1" applyAlignment="1">
      <alignment horizontal="center" vertical="center"/>
    </xf>
    <xf numFmtId="49" fontId="1" fillId="5" borderId="12" xfId="0" applyNumberFormat="1" applyFont="1" applyFill="1" applyBorder="1" applyAlignment="1">
      <alignment horizontal="center" vertical="center"/>
    </xf>
    <xf numFmtId="49" fontId="1" fillId="5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>
      <alignment vertical="top" wrapText="1"/>
    </xf>
    <xf numFmtId="164" fontId="11" fillId="0" borderId="5" xfId="0" applyNumberFormat="1" applyFont="1" applyFill="1" applyBorder="1">
      <alignment vertical="top" wrapText="1"/>
    </xf>
    <xf numFmtId="164" fontId="11" fillId="0" borderId="17" xfId="0" applyNumberFormat="1" applyFont="1" applyBorder="1">
      <alignment vertical="top" wrapText="1"/>
    </xf>
    <xf numFmtId="0" fontId="11" fillId="0" borderId="9" xfId="0" applyFont="1" applyBorder="1">
      <alignment vertical="top" wrapText="1"/>
    </xf>
    <xf numFmtId="2" fontId="11" fillId="0" borderId="6" xfId="0" applyNumberFormat="1" applyFont="1" applyBorder="1" applyAlignment="1">
      <alignment horizontal="center" vertical="top" wrapText="1"/>
    </xf>
    <xf numFmtId="164" fontId="11" fillId="0" borderId="6" xfId="0" applyNumberFormat="1" applyFont="1" applyBorder="1">
      <alignment vertical="top" wrapText="1"/>
    </xf>
    <xf numFmtId="2" fontId="11" fillId="0" borderId="0" xfId="0" applyNumberFormat="1" applyFont="1">
      <alignment vertical="top" wrapText="1"/>
    </xf>
    <xf numFmtId="0" fontId="10" fillId="0" borderId="4" xfId="0" applyFont="1" applyBorder="1">
      <alignment vertical="top" wrapText="1"/>
    </xf>
    <xf numFmtId="2" fontId="10" fillId="0" borderId="4" xfId="0" applyNumberFormat="1" applyFont="1" applyBorder="1" applyAlignment="1">
      <alignment horizontal="center" vertical="top" wrapText="1"/>
    </xf>
    <xf numFmtId="164" fontId="10" fillId="0" borderId="4" xfId="0" applyNumberFormat="1" applyFont="1" applyBorder="1">
      <alignment vertical="top" wrapText="1"/>
    </xf>
    <xf numFmtId="164" fontId="10" fillId="0" borderId="0" xfId="0" applyNumberFormat="1" applyFont="1" applyBorder="1">
      <alignment vertical="top" wrapText="1"/>
    </xf>
    <xf numFmtId="2" fontId="11" fillId="0" borderId="19" xfId="0" applyNumberFormat="1" applyFont="1" applyFill="1" applyBorder="1">
      <alignment vertical="top" wrapText="1"/>
    </xf>
    <xf numFmtId="164" fontId="11" fillId="0" borderId="16" xfId="0" applyNumberFormat="1" applyFont="1" applyFill="1" applyBorder="1">
      <alignment vertical="top" wrapText="1"/>
    </xf>
    <xf numFmtId="2" fontId="11" fillId="0" borderId="3" xfId="0" applyNumberFormat="1" applyFont="1" applyFill="1" applyBorder="1">
      <alignment vertical="top" wrapText="1"/>
    </xf>
    <xf numFmtId="164" fontId="11" fillId="0" borderId="3" xfId="0" applyNumberFormat="1" applyFont="1" applyFill="1" applyBorder="1">
      <alignment vertical="top" wrapText="1"/>
    </xf>
    <xf numFmtId="2" fontId="11" fillId="0" borderId="5" xfId="0" applyNumberFormat="1" applyFont="1" applyFill="1" applyBorder="1">
      <alignment vertical="top" wrapText="1"/>
    </xf>
    <xf numFmtId="164" fontId="13" fillId="0" borderId="7" xfId="0" applyNumberFormat="1" applyFont="1" applyBorder="1">
      <alignment vertical="top" wrapText="1"/>
    </xf>
    <xf numFmtId="166" fontId="14" fillId="0" borderId="4" xfId="0" applyNumberFormat="1" applyFont="1" applyBorder="1" applyAlignment="1">
      <alignment vertical="center" wrapText="1"/>
    </xf>
    <xf numFmtId="164" fontId="13" fillId="0" borderId="0" xfId="0" applyNumberFormat="1" applyFont="1" applyBorder="1">
      <alignment vertical="top" wrapText="1"/>
    </xf>
    <xf numFmtId="166" fontId="14" fillId="0" borderId="0" xfId="0" applyNumberFormat="1" applyFont="1" applyBorder="1" applyAlignment="1">
      <alignment vertical="center" wrapText="1"/>
    </xf>
    <xf numFmtId="166" fontId="11" fillId="0" borderId="0" xfId="0" applyNumberFormat="1" applyFont="1">
      <alignment vertical="top" wrapText="1"/>
    </xf>
    <xf numFmtId="0" fontId="11" fillId="0" borderId="17" xfId="0" applyFont="1" applyBorder="1">
      <alignment vertical="top" wrapText="1"/>
    </xf>
    <xf numFmtId="0" fontId="11" fillId="0" borderId="14" xfId="0" applyFont="1" applyBorder="1">
      <alignment vertical="top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167" fontId="11" fillId="0" borderId="25" xfId="0" applyNumberFormat="1" applyFont="1" applyBorder="1" applyAlignment="1">
      <alignment horizontal="center" vertical="center" wrapText="1"/>
    </xf>
    <xf numFmtId="167" fontId="11" fillId="0" borderId="26" xfId="0" applyNumberFormat="1" applyFont="1" applyBorder="1" applyAlignment="1">
      <alignment horizontal="center" vertical="center" wrapText="1"/>
    </xf>
    <xf numFmtId="167" fontId="11" fillId="0" borderId="27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49" fontId="2" fillId="2" borderId="28" xfId="0" applyNumberFormat="1" applyFont="1" applyFill="1" applyBorder="1" applyAlignment="1">
      <alignment horizontal="center" vertical="center"/>
    </xf>
    <xf numFmtId="2" fontId="4" fillId="3" borderId="29" xfId="0" applyNumberFormat="1" applyFont="1" applyFill="1" applyBorder="1" applyAlignment="1">
      <alignment horizontal="center" vertical="center"/>
    </xf>
    <xf numFmtId="165" fontId="6" fillId="5" borderId="22" xfId="0" applyNumberFormat="1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0" fontId="7" fillId="0" borderId="10" xfId="0" applyFont="1" applyBorder="1">
      <alignment vertical="top" wrapText="1"/>
    </xf>
    <xf numFmtId="2" fontId="4" fillId="6" borderId="4" xfId="0" applyNumberFormat="1" applyFont="1" applyFill="1" applyBorder="1" applyAlignment="1">
      <alignment horizontal="center" vertical="center"/>
    </xf>
    <xf numFmtId="2" fontId="4" fillId="6" borderId="30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0" fontId="15" fillId="0" borderId="0" xfId="0" applyFont="1">
      <alignment vertical="top" wrapText="1"/>
    </xf>
    <xf numFmtId="167" fontId="11" fillId="0" borderId="0" xfId="0" applyNumberFormat="1" applyFont="1" applyBorder="1" applyAlignment="1">
      <alignment horizontal="center" vertical="center" wrapText="1"/>
    </xf>
    <xf numFmtId="2" fontId="11" fillId="0" borderId="6" xfId="0" applyNumberFormat="1" applyFont="1" applyFill="1" applyBorder="1">
      <alignment vertical="top" wrapText="1"/>
    </xf>
    <xf numFmtId="164" fontId="11" fillId="0" borderId="6" xfId="0" applyNumberFormat="1" applyFont="1" applyFill="1" applyBorder="1">
      <alignment vertical="top" wrapText="1"/>
    </xf>
    <xf numFmtId="164" fontId="11" fillId="0" borderId="31" xfId="0" applyNumberFormat="1" applyFont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15" xfId="0" applyFont="1" applyBorder="1">
      <alignment vertical="top" wrapText="1"/>
    </xf>
    <xf numFmtId="0" fontId="10" fillId="0" borderId="8" xfId="0" applyFont="1" applyBorder="1" applyAlignment="1">
      <alignment horizontal="center" vertical="center" wrapText="1"/>
    </xf>
    <xf numFmtId="167" fontId="11" fillId="0" borderId="26" xfId="0" applyNumberFormat="1" applyFont="1" applyBorder="1">
      <alignment vertical="top" wrapText="1"/>
    </xf>
    <xf numFmtId="167" fontId="11" fillId="0" borderId="0" xfId="0" applyNumberFormat="1" applyFont="1" applyBorder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7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4" formatCode="_-* #,##0.00\ &quot;€&quot;_-;\-* #,##0.00\ &quot;€&quot;_-;_-* &quot;-&quot;??\ &quot;€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2" formatCode="0.0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numFmt numFmtId="167" formatCode="yyyy\-mm\-dd;@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 (Body)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C5DEB5"/>
      <rgbColor rgb="FFFFF056"/>
      <rgbColor rgb="FFA9CD90"/>
      <rgbColor rgb="FFAAAAAA"/>
      <rgbColor rgb="FFE7E6E6"/>
      <rgbColor rgb="FF72FCE9"/>
      <rgbColor rgb="FFFF968C"/>
      <rgbColor rgb="FFDDDDDD"/>
      <rgbColor rgb="FF88F94E"/>
      <rgbColor rgb="FFD8D8D8"/>
      <rgbColor rgb="FFFFE265"/>
      <rgbColor rgb="FFD4D4D4"/>
      <rgbColor rgb="FFFF0000"/>
      <rgbColor rgb="FFF6BE98"/>
      <rgbColor rgb="FFF7CBAC"/>
      <rgbColor rgb="FF88E168"/>
      <rgbColor rgb="FF92D050"/>
      <rgbColor rgb="FFB0EB9A"/>
      <rgbColor rgb="FF7F7F7F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365"/>
      <color rgb="FFFF96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B19FC-0BD7-C84F-94C4-FC3CBB859F8F}" name="Expected_Stages" displayName="Expected_Stages" ref="A2:G14" headerRowDxfId="30" headerRowBorderDxfId="29" tableBorderDxfId="28">
  <autoFilter ref="A2:G14" xr:uid="{D65B19FC-0BD7-C84F-94C4-FC3CBB859F8F}"/>
  <tableColumns count="7">
    <tableColumn id="1" xr3:uid="{9D52E5DC-837E-0448-890C-7718ACCC2E99}" name="Date" totalsRowLabel="Total" dataDxfId="27" totalsRowDxfId="26"/>
    <tableColumn id="2" xr3:uid="{6F9505BC-7B14-4A4D-AB3D-96A8592529AA}" name="Quantity" dataDxfId="25" totalsRowDxfId="24"/>
    <tableColumn id="3" xr3:uid="{1122E8B2-20BA-4040-9182-C4606DC9DA15}" name="Amount" dataDxfId="23" totalsRowDxfId="22"/>
    <tableColumn id="4" xr3:uid="{AD0A1C34-12E8-ED40-973F-0C8C458B6224}" name="Category" dataDxfId="21" totalsRowDxfId="20"/>
    <tableColumn id="5" xr3:uid="{45C50475-6373-6E4F-90EE-8753D6BB2AEF}" name="Type" dataDxfId="19" totalsRowDxfId="18"/>
    <tableColumn id="6" xr3:uid="{6358E83A-FFAB-A942-B0E6-8E3BFE62D70A}" name="Club" dataDxfId="17" totalsRowDxfId="16"/>
    <tableColumn id="7" xr3:uid="{28CAE650-49C5-AB40-8453-8014486296A6}" name="Details" totalsRowFunction="count" dataDxfId="15" totalsRow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A8C562-23B6-F943-B7C8-134AB134EC7E}" name="Paid_stages" displayName="Paid_stages" ref="A19:G27" totalsRowShown="0" tableBorderDxfId="13">
  <autoFilter ref="A19:G27" xr:uid="{2CA8C562-23B6-F943-B7C8-134AB134EC7E}"/>
  <tableColumns count="7">
    <tableColumn id="1" xr3:uid="{7B8BA6CE-58F0-9346-B6C8-4675815CA24F}" name="Date" dataDxfId="12"/>
    <tableColumn id="2" xr3:uid="{D4AF354C-A27F-064C-8025-45875C04E7D6}" name="BENEF." dataDxfId="11"/>
    <tableColumn id="3" xr3:uid="{95EEF617-FFDC-F245-A050-273D3F563EAD}" name="Amount" dataDxfId="10"/>
    <tableColumn id="4" xr3:uid="{0F6BBBBA-E640-6746-8BE8-BC90CE8F0398}" name="Category" dataDxfId="9"/>
    <tableColumn id="5" xr3:uid="{157BFC90-F377-CE4D-A22B-F96A49E91A2E}" name="Type" dataDxfId="8"/>
    <tableColumn id="6" xr3:uid="{92F22325-CA59-8F49-A557-8E651259D206}" name="Club" dataDxfId="7"/>
    <tableColumn id="7" xr3:uid="{11094C27-0F98-BA4E-81D9-48E6D371878E}" name="Detail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D557-90A8-F941-9D56-5D2B944FA30F}">
  <dimension ref="A1:H45"/>
  <sheetViews>
    <sheetView tabSelected="1" workbookViewId="0">
      <selection activeCell="C20" sqref="C20"/>
    </sheetView>
  </sheetViews>
  <sheetFormatPr baseColWidth="10" defaultRowHeight="18" x14ac:dyDescent="0.15"/>
  <cols>
    <col min="1" max="1" width="18" style="10" bestFit="1" customWidth="1"/>
    <col min="2" max="2" width="65" style="10" bestFit="1" customWidth="1"/>
    <col min="3" max="3" width="13.5" style="10" bestFit="1" customWidth="1"/>
    <col min="4" max="4" width="13.6640625" style="10" customWidth="1"/>
    <col min="5" max="5" width="12.1640625" style="10" bestFit="1" customWidth="1"/>
    <col min="6" max="6" width="15.1640625" style="10" bestFit="1" customWidth="1"/>
    <col min="7" max="7" width="17.33203125" style="10" customWidth="1"/>
    <col min="8" max="10" width="10.83203125" style="10"/>
    <col min="11" max="11" width="13.5" style="10" bestFit="1" customWidth="1"/>
    <col min="12" max="12" width="13" style="10" customWidth="1"/>
    <col min="13" max="13" width="16" style="10" bestFit="1" customWidth="1"/>
    <col min="14" max="16384" width="10.83203125" style="10"/>
  </cols>
  <sheetData>
    <row r="1" spans="1:8" ht="20" customHeight="1" thickBot="1" x14ac:dyDescent="0.2">
      <c r="A1" s="69" t="s">
        <v>8</v>
      </c>
      <c r="B1" s="70"/>
      <c r="C1" s="70"/>
      <c r="D1" s="70"/>
      <c r="E1" s="70"/>
      <c r="F1" s="70"/>
      <c r="G1" s="71"/>
    </row>
    <row r="2" spans="1:8" ht="20" thickBot="1" x14ac:dyDescent="0.2">
      <c r="A2" s="63" t="s">
        <v>9</v>
      </c>
      <c r="B2" s="33" t="s">
        <v>10</v>
      </c>
      <c r="C2" s="33" t="s">
        <v>5</v>
      </c>
      <c r="D2" s="33" t="s">
        <v>14</v>
      </c>
      <c r="E2" s="34" t="s">
        <v>11</v>
      </c>
      <c r="F2" s="33" t="s">
        <v>13</v>
      </c>
      <c r="G2" s="35" t="s">
        <v>7</v>
      </c>
    </row>
    <row r="3" spans="1:8" ht="19" x14ac:dyDescent="0.15">
      <c r="A3" s="64">
        <v>46142</v>
      </c>
      <c r="B3" s="14">
        <f>'APRIL 2026'!B12</f>
        <v>10</v>
      </c>
      <c r="C3" s="15">
        <f>'APRIL 2026'!B13</f>
        <v>1625</v>
      </c>
      <c r="D3" s="12" t="s">
        <v>25</v>
      </c>
      <c r="E3" s="13" t="s">
        <v>12</v>
      </c>
      <c r="F3" s="12" t="s">
        <v>34</v>
      </c>
      <c r="G3" s="32" t="s">
        <v>26</v>
      </c>
    </row>
    <row r="4" spans="1:8" ht="19" x14ac:dyDescent="0.15">
      <c r="A4" s="64">
        <v>46173</v>
      </c>
      <c r="B4" s="14">
        <v>0</v>
      </c>
      <c r="C4" s="15">
        <v>0</v>
      </c>
      <c r="D4" s="12" t="s">
        <v>25</v>
      </c>
      <c r="E4" s="13" t="s">
        <v>12</v>
      </c>
      <c r="F4" s="12" t="s">
        <v>34</v>
      </c>
      <c r="G4" s="32" t="s">
        <v>26</v>
      </c>
      <c r="H4" s="16"/>
    </row>
    <row r="5" spans="1:8" ht="19" x14ac:dyDescent="0.15">
      <c r="A5" s="64">
        <v>46203</v>
      </c>
      <c r="B5" s="14">
        <v>0</v>
      </c>
      <c r="C5" s="15">
        <v>0</v>
      </c>
      <c r="D5" s="12" t="s">
        <v>25</v>
      </c>
      <c r="E5" s="13" t="s">
        <v>12</v>
      </c>
      <c r="F5" s="12" t="s">
        <v>34</v>
      </c>
      <c r="G5" s="32" t="s">
        <v>26</v>
      </c>
    </row>
    <row r="6" spans="1:8" ht="19" x14ac:dyDescent="0.15">
      <c r="A6" s="64">
        <v>46234</v>
      </c>
      <c r="B6" s="14">
        <f>'JULY 2026'!B12</f>
        <v>13</v>
      </c>
      <c r="C6" s="15">
        <f>'JULY 2026'!B13</f>
        <v>2275</v>
      </c>
      <c r="D6" s="12" t="s">
        <v>25</v>
      </c>
      <c r="E6" s="13" t="s">
        <v>33</v>
      </c>
      <c r="F6" s="12" t="s">
        <v>34</v>
      </c>
      <c r="G6" s="32" t="s">
        <v>26</v>
      </c>
    </row>
    <row r="7" spans="1:8" ht="19" x14ac:dyDescent="0.15">
      <c r="A7" s="64">
        <v>46265</v>
      </c>
      <c r="B7" s="14">
        <f>'AUGUST 2026'!B12</f>
        <v>15</v>
      </c>
      <c r="C7" s="15">
        <f>'AUGUST 2026'!B13</f>
        <v>2875</v>
      </c>
      <c r="D7" s="12" t="s">
        <v>25</v>
      </c>
      <c r="E7" s="13" t="s">
        <v>33</v>
      </c>
      <c r="F7" s="12" t="s">
        <v>34</v>
      </c>
      <c r="G7" s="32" t="s">
        <v>26</v>
      </c>
    </row>
    <row r="8" spans="1:8" x14ac:dyDescent="0.15">
      <c r="A8" s="64"/>
      <c r="B8" s="14"/>
      <c r="C8" s="15"/>
      <c r="D8" s="12"/>
      <c r="E8" s="13"/>
      <c r="F8" s="12"/>
      <c r="G8" s="32"/>
    </row>
    <row r="9" spans="1:8" x14ac:dyDescent="0.15">
      <c r="A9" s="64"/>
      <c r="B9" s="14"/>
      <c r="C9" s="15"/>
      <c r="D9" s="12"/>
      <c r="E9" s="13"/>
      <c r="F9" s="12"/>
      <c r="G9" s="32"/>
    </row>
    <row r="10" spans="1:8" x14ac:dyDescent="0.15">
      <c r="A10" s="64"/>
      <c r="B10" s="14"/>
      <c r="C10" s="15"/>
      <c r="D10" s="12"/>
      <c r="E10" s="13"/>
      <c r="F10" s="12"/>
      <c r="G10" s="32"/>
    </row>
    <row r="11" spans="1:8" x14ac:dyDescent="0.15">
      <c r="A11" s="64"/>
      <c r="B11" s="14"/>
      <c r="C11" s="15"/>
      <c r="D11" s="12"/>
      <c r="E11" s="13"/>
      <c r="F11" s="12"/>
      <c r="G11" s="32"/>
    </row>
    <row r="12" spans="1:8" x14ac:dyDescent="0.15">
      <c r="A12" s="64"/>
      <c r="B12" s="14"/>
      <c r="C12" s="15"/>
      <c r="D12" s="12"/>
      <c r="E12" s="13"/>
      <c r="F12" s="12"/>
      <c r="G12" s="32"/>
    </row>
    <row r="13" spans="1:8" x14ac:dyDescent="0.15">
      <c r="A13" s="64"/>
      <c r="B13" s="14"/>
      <c r="C13" s="15"/>
      <c r="D13" s="12"/>
      <c r="E13" s="13"/>
      <c r="F13" s="12"/>
      <c r="G13" s="32"/>
    </row>
    <row r="14" spans="1:8" ht="19" thickBot="1" x14ac:dyDescent="0.2">
      <c r="A14" s="65"/>
      <c r="B14" s="14"/>
      <c r="C14" s="15"/>
      <c r="D14" s="12"/>
      <c r="E14" s="61"/>
      <c r="F14" s="12"/>
      <c r="G14" s="32"/>
    </row>
    <row r="15" spans="1:8" ht="20" thickBot="1" x14ac:dyDescent="0.2">
      <c r="A15" s="17" t="s">
        <v>2</v>
      </c>
      <c r="B15" s="18">
        <f>SUM(B3:B14)</f>
        <v>38</v>
      </c>
      <c r="C15" s="19">
        <f>SUMIF(E3:E14,"Expected",C3:C14)</f>
        <v>1625</v>
      </c>
      <c r="D15" s="20"/>
    </row>
    <row r="17" spans="1:7" ht="19" thickBot="1" x14ac:dyDescent="0.2"/>
    <row r="18" spans="1:7" ht="20" customHeight="1" thickBot="1" x14ac:dyDescent="0.2">
      <c r="A18" s="66" t="s">
        <v>15</v>
      </c>
      <c r="B18" s="67"/>
      <c r="C18" s="67"/>
      <c r="D18" s="67"/>
      <c r="E18" s="67"/>
      <c r="F18" s="67"/>
      <c r="G18" s="68"/>
    </row>
    <row r="19" spans="1:7" ht="20" thickBot="1" x14ac:dyDescent="0.2">
      <c r="A19" s="39" t="s">
        <v>9</v>
      </c>
      <c r="B19" s="40" t="s">
        <v>4</v>
      </c>
      <c r="C19" s="41" t="s">
        <v>5</v>
      </c>
      <c r="D19" s="33" t="s">
        <v>14</v>
      </c>
      <c r="E19" s="34" t="s">
        <v>11</v>
      </c>
      <c r="F19" s="33" t="s">
        <v>13</v>
      </c>
      <c r="G19" s="35" t="s">
        <v>7</v>
      </c>
    </row>
    <row r="20" spans="1:7" ht="19" x14ac:dyDescent="0.15">
      <c r="A20" s="36">
        <v>46126</v>
      </c>
      <c r="B20" s="21" t="s">
        <v>35</v>
      </c>
      <c r="C20" s="22">
        <v>750</v>
      </c>
      <c r="D20" s="12" t="s">
        <v>25</v>
      </c>
      <c r="E20" s="13" t="s">
        <v>15</v>
      </c>
      <c r="F20" s="12" t="s">
        <v>34</v>
      </c>
      <c r="G20" s="31" t="s">
        <v>26</v>
      </c>
    </row>
    <row r="21" spans="1:7" ht="19" x14ac:dyDescent="0.15">
      <c r="A21" s="37">
        <v>46133</v>
      </c>
      <c r="B21" s="25" t="s">
        <v>35</v>
      </c>
      <c r="C21" s="24">
        <v>875</v>
      </c>
      <c r="D21" s="12" t="s">
        <v>25</v>
      </c>
      <c r="E21" s="13" t="s">
        <v>15</v>
      </c>
      <c r="F21" s="12" t="s">
        <v>34</v>
      </c>
      <c r="G21" s="31" t="s">
        <v>26</v>
      </c>
    </row>
    <row r="22" spans="1:7" x14ac:dyDescent="0.15">
      <c r="A22" s="37"/>
      <c r="B22" s="25"/>
      <c r="C22" s="11"/>
      <c r="D22" s="12"/>
      <c r="E22" s="13"/>
      <c r="F22" s="12"/>
      <c r="G22" s="31"/>
    </row>
    <row r="23" spans="1:7" x14ac:dyDescent="0.15">
      <c r="A23" s="37"/>
      <c r="B23" s="23"/>
      <c r="C23" s="24"/>
      <c r="D23" s="12"/>
      <c r="E23" s="13"/>
      <c r="F23" s="12"/>
      <c r="G23" s="32"/>
    </row>
    <row r="24" spans="1:7" x14ac:dyDescent="0.15">
      <c r="A24" s="37"/>
      <c r="B24" s="23"/>
      <c r="C24" s="24"/>
      <c r="D24" s="12"/>
      <c r="E24" s="13"/>
      <c r="F24" s="12"/>
      <c r="G24" s="32"/>
    </row>
    <row r="25" spans="1:7" x14ac:dyDescent="0.15">
      <c r="A25" s="37"/>
      <c r="B25" s="23"/>
      <c r="C25" s="24"/>
      <c r="D25" s="12"/>
      <c r="E25" s="13"/>
      <c r="F25" s="12"/>
      <c r="G25" s="32"/>
    </row>
    <row r="26" spans="1:7" x14ac:dyDescent="0.15">
      <c r="A26" s="38"/>
      <c r="B26" s="23"/>
      <c r="C26" s="24"/>
      <c r="D26" s="12"/>
      <c r="E26" s="13"/>
      <c r="F26" s="12"/>
      <c r="G26" s="32"/>
    </row>
    <row r="27" spans="1:7" x14ac:dyDescent="0.15">
      <c r="A27" s="57"/>
      <c r="B27" s="58"/>
      <c r="C27" s="59"/>
      <c r="D27" s="60"/>
      <c r="E27" s="61"/>
      <c r="F27" s="60"/>
      <c r="G27" s="62"/>
    </row>
    <row r="28" spans="1:7" ht="19" thickBot="1" x14ac:dyDescent="0.2">
      <c r="C28" s="26">
        <f>SUM(C20:C26)</f>
        <v>1625</v>
      </c>
    </row>
    <row r="30" spans="1:7" ht="19" thickBot="1" x14ac:dyDescent="0.2"/>
    <row r="31" spans="1:7" ht="20" thickBot="1" x14ac:dyDescent="0.2">
      <c r="A31" s="8" t="s">
        <v>6</v>
      </c>
      <c r="B31" s="9"/>
      <c r="C31" s="27">
        <f>C15-C28</f>
        <v>0</v>
      </c>
      <c r="D31" s="28"/>
    </row>
    <row r="33" spans="3:4" x14ac:dyDescent="0.15">
      <c r="D33" s="29"/>
    </row>
    <row r="45" spans="3:4" x14ac:dyDescent="0.15">
      <c r="C45" s="30"/>
    </row>
  </sheetData>
  <mergeCells count="2">
    <mergeCell ref="A18:G18"/>
    <mergeCell ref="A1:G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4B4F-5914-FE4B-BD9A-76E1E8D4E54E}">
  <sheetPr>
    <pageSetUpPr fitToPage="1"/>
  </sheetPr>
  <dimension ref="A1:D14"/>
  <sheetViews>
    <sheetView zoomScale="120" zoomScaleNormal="120" workbookViewId="0">
      <selection activeCell="D27" sqref="D27"/>
    </sheetView>
  </sheetViews>
  <sheetFormatPr baseColWidth="10" defaultRowHeight="13" x14ac:dyDescent="0.15"/>
  <cols>
    <col min="1" max="1" width="12.6640625" customWidth="1"/>
    <col min="2" max="4" width="18.33203125" customWidth="1"/>
  </cols>
  <sheetData>
    <row r="1" spans="1:4" s="3" customFormat="1" ht="17" thickBot="1" x14ac:dyDescent="0.2">
      <c r="A1" s="5" t="s">
        <v>1</v>
      </c>
      <c r="B1" s="72" t="s">
        <v>30</v>
      </c>
      <c r="C1" s="72" t="s">
        <v>31</v>
      </c>
      <c r="D1" s="72" t="s">
        <v>32</v>
      </c>
    </row>
    <row r="2" spans="1:4" ht="15" x14ac:dyDescent="0.15">
      <c r="A2" s="44" t="s">
        <v>22</v>
      </c>
      <c r="B2" s="7" t="s">
        <v>36</v>
      </c>
      <c r="C2" s="6" t="s">
        <v>37</v>
      </c>
      <c r="D2" s="6" t="s">
        <v>38</v>
      </c>
    </row>
    <row r="3" spans="1:4" ht="15" x14ac:dyDescent="0.15">
      <c r="A3" s="50" t="s">
        <v>19</v>
      </c>
      <c r="B3" s="45">
        <v>1</v>
      </c>
      <c r="C3" s="45">
        <v>1</v>
      </c>
      <c r="D3" s="45">
        <v>1</v>
      </c>
    </row>
    <row r="4" spans="1:4" ht="15" x14ac:dyDescent="0.15">
      <c r="A4" s="50" t="s">
        <v>20</v>
      </c>
      <c r="B4" s="45">
        <v>1</v>
      </c>
      <c r="C4" s="45">
        <v>1</v>
      </c>
      <c r="D4" s="45">
        <v>1</v>
      </c>
    </row>
    <row r="5" spans="1:4" ht="15" x14ac:dyDescent="0.15">
      <c r="A5" s="50" t="s">
        <v>3</v>
      </c>
      <c r="B5" s="45">
        <v>1</v>
      </c>
      <c r="C5" s="45">
        <v>1</v>
      </c>
      <c r="D5" s="45">
        <v>1</v>
      </c>
    </row>
    <row r="6" spans="1:4" ht="15" x14ac:dyDescent="0.15">
      <c r="A6" s="50" t="s">
        <v>21</v>
      </c>
      <c r="B6" s="45">
        <v>1</v>
      </c>
      <c r="C6" s="45">
        <v>1</v>
      </c>
      <c r="D6" s="45">
        <v>1</v>
      </c>
    </row>
    <row r="7" spans="1:4" ht="15" x14ac:dyDescent="0.15">
      <c r="A7" s="50" t="s">
        <v>0</v>
      </c>
      <c r="B7" s="45">
        <v>1</v>
      </c>
      <c r="C7" s="45">
        <v>1</v>
      </c>
      <c r="D7" s="45">
        <v>1</v>
      </c>
    </row>
    <row r="8" spans="1:4" s="56" customFormat="1" ht="20" thickBot="1" x14ac:dyDescent="0.2">
      <c r="A8" s="53" t="s">
        <v>23</v>
      </c>
      <c r="B8" s="54">
        <f>COUNTA(B3:B7)</f>
        <v>5</v>
      </c>
      <c r="C8" s="55">
        <f>COUNTA(C3:C7)</f>
        <v>5</v>
      </c>
      <c r="D8" s="55">
        <f>COUNTA(D3:D7)</f>
        <v>5</v>
      </c>
    </row>
    <row r="9" spans="1:4" ht="18" thickBot="1" x14ac:dyDescent="0.2">
      <c r="A9" s="48" t="s">
        <v>17</v>
      </c>
      <c r="B9" s="47">
        <v>175</v>
      </c>
      <c r="C9" s="47">
        <v>200</v>
      </c>
      <c r="D9" s="47">
        <v>200</v>
      </c>
    </row>
    <row r="10" spans="1:4" ht="18" thickBot="1" x14ac:dyDescent="0.2">
      <c r="B10" s="51">
        <f>B8*B9</f>
        <v>875</v>
      </c>
      <c r="C10" s="52">
        <f>C8*C9</f>
        <v>1000</v>
      </c>
      <c r="D10" s="52">
        <f>D8*D9</f>
        <v>1000</v>
      </c>
    </row>
    <row r="11" spans="1:4" ht="14" thickBot="1" x14ac:dyDescent="0.2"/>
    <row r="12" spans="1:4" ht="18" thickBot="1" x14ac:dyDescent="0.2">
      <c r="A12" s="42" t="s">
        <v>18</v>
      </c>
      <c r="B12" s="46">
        <f>SUM(B8:D8)</f>
        <v>15</v>
      </c>
      <c r="C12" s="4"/>
      <c r="D12" s="4"/>
    </row>
    <row r="13" spans="1:4" ht="18" thickBot="1" x14ac:dyDescent="0.2">
      <c r="A13" s="2" t="s">
        <v>2</v>
      </c>
      <c r="B13" s="43">
        <f>SUM(B10:D10)</f>
        <v>2875</v>
      </c>
    </row>
    <row r="14" spans="1:4" ht="15" x14ac:dyDescent="0.15">
      <c r="A14" s="1"/>
      <c r="B14" s="1"/>
    </row>
  </sheetData>
  <conditionalFormatting sqref="B13">
    <cfRule type="cellIs" dxfId="5" priority="4" stopIfTrue="1" operator="lessThan">
      <formula>0</formula>
    </cfRule>
  </conditionalFormatting>
  <conditionalFormatting sqref="B3:C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D7">
    <cfRule type="containsText" dxfId="4" priority="1" operator="containsText" text="1">
      <formula>NOT(ISERROR(SEARCH("1",B3)))</formula>
    </cfRule>
  </conditionalFormatting>
  <conditionalFormatting sqref="D3:D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BD88-E8C5-644D-A71B-0CA9AF788A9D}">
  <sheetPr>
    <pageSetUpPr fitToPage="1"/>
  </sheetPr>
  <dimension ref="A1:D14"/>
  <sheetViews>
    <sheetView zoomScale="120" zoomScaleNormal="120" workbookViewId="0">
      <selection activeCell="F17" sqref="F17"/>
    </sheetView>
  </sheetViews>
  <sheetFormatPr baseColWidth="10" defaultRowHeight="13" x14ac:dyDescent="0.15"/>
  <cols>
    <col min="1" max="1" width="12.6640625" customWidth="1"/>
    <col min="2" max="4" width="17.5" bestFit="1" customWidth="1"/>
  </cols>
  <sheetData>
    <row r="1" spans="1:4" s="3" customFormat="1" ht="17" thickBot="1" x14ac:dyDescent="0.2">
      <c r="A1" s="5" t="s">
        <v>1</v>
      </c>
      <c r="B1" s="72" t="s">
        <v>27</v>
      </c>
      <c r="C1" s="72" t="s">
        <v>28</v>
      </c>
      <c r="D1" s="72" t="s">
        <v>29</v>
      </c>
    </row>
    <row r="2" spans="1:4" ht="15" x14ac:dyDescent="0.15">
      <c r="A2" s="44" t="s">
        <v>22</v>
      </c>
      <c r="B2" s="7" t="s">
        <v>39</v>
      </c>
      <c r="C2" s="6" t="s">
        <v>40</v>
      </c>
      <c r="D2" s="6" t="s">
        <v>41</v>
      </c>
    </row>
    <row r="3" spans="1:4" ht="15" x14ac:dyDescent="0.15">
      <c r="A3" s="50" t="s">
        <v>19</v>
      </c>
      <c r="B3" s="45"/>
      <c r="C3" s="45">
        <v>1</v>
      </c>
      <c r="D3" s="45">
        <v>1</v>
      </c>
    </row>
    <row r="4" spans="1:4" ht="15" x14ac:dyDescent="0.15">
      <c r="A4" s="50" t="s">
        <v>20</v>
      </c>
      <c r="B4" s="45"/>
      <c r="C4" s="45">
        <v>1</v>
      </c>
      <c r="D4" s="45">
        <v>1</v>
      </c>
    </row>
    <row r="5" spans="1:4" ht="15" x14ac:dyDescent="0.15">
      <c r="A5" s="50" t="s">
        <v>3</v>
      </c>
      <c r="B5" s="45">
        <v>1</v>
      </c>
      <c r="C5" s="45">
        <v>1</v>
      </c>
      <c r="D5" s="45">
        <v>1</v>
      </c>
    </row>
    <row r="6" spans="1:4" ht="15" x14ac:dyDescent="0.15">
      <c r="A6" s="50" t="s">
        <v>21</v>
      </c>
      <c r="B6" s="45">
        <v>1</v>
      </c>
      <c r="C6" s="45">
        <v>1</v>
      </c>
      <c r="D6" s="45">
        <v>1</v>
      </c>
    </row>
    <row r="7" spans="1:4" ht="15" x14ac:dyDescent="0.15">
      <c r="A7" s="50" t="s">
        <v>0</v>
      </c>
      <c r="B7" s="45">
        <v>1</v>
      </c>
      <c r="C7" s="45">
        <v>1</v>
      </c>
      <c r="D7" s="45">
        <v>1</v>
      </c>
    </row>
    <row r="8" spans="1:4" s="56" customFormat="1" ht="20" thickBot="1" x14ac:dyDescent="0.2">
      <c r="A8" s="53" t="s">
        <v>23</v>
      </c>
      <c r="B8" s="54">
        <f>COUNTA(B3:B7)</f>
        <v>3</v>
      </c>
      <c r="C8" s="55">
        <f>COUNTA(C3:C7)</f>
        <v>5</v>
      </c>
      <c r="D8" s="55">
        <f>COUNTA(D3:D7)</f>
        <v>5</v>
      </c>
    </row>
    <row r="9" spans="1:4" ht="18" thickBot="1" x14ac:dyDescent="0.2">
      <c r="A9" s="48" t="s">
        <v>17</v>
      </c>
      <c r="B9" s="47">
        <v>175</v>
      </c>
      <c r="C9" s="47">
        <v>175</v>
      </c>
      <c r="D9" s="47">
        <v>175</v>
      </c>
    </row>
    <row r="10" spans="1:4" ht="18" thickBot="1" x14ac:dyDescent="0.2">
      <c r="B10" s="51">
        <f>B8*B9</f>
        <v>525</v>
      </c>
      <c r="C10" s="52">
        <f>C8*C9</f>
        <v>875</v>
      </c>
      <c r="D10" s="52">
        <f>D8*D9</f>
        <v>875</v>
      </c>
    </row>
    <row r="11" spans="1:4" ht="14" thickBot="1" x14ac:dyDescent="0.2"/>
    <row r="12" spans="1:4" ht="18" thickBot="1" x14ac:dyDescent="0.2">
      <c r="A12" s="42" t="s">
        <v>18</v>
      </c>
      <c r="B12" s="46">
        <f>SUM(B8:D8)</f>
        <v>13</v>
      </c>
      <c r="C12" s="4"/>
      <c r="D12" s="4"/>
    </row>
    <row r="13" spans="1:4" ht="18" thickBot="1" x14ac:dyDescent="0.2">
      <c r="A13" s="2" t="s">
        <v>2</v>
      </c>
      <c r="B13" s="43">
        <f>SUM(B10:D10)</f>
        <v>2275</v>
      </c>
    </row>
    <row r="14" spans="1:4" ht="15" x14ac:dyDescent="0.15">
      <c r="A14" s="1"/>
      <c r="B14" s="1"/>
    </row>
  </sheetData>
  <conditionalFormatting sqref="B13">
    <cfRule type="cellIs" dxfId="3" priority="5" stopIfTrue="1" operator="lessThan">
      <formula>0</formula>
    </cfRule>
  </conditionalFormatting>
  <conditionalFormatting sqref="B3:C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D7">
    <cfRule type="containsText" dxfId="2" priority="1" operator="containsText" text="1">
      <formula>NOT(ISERROR(SEARCH("1",B3)))</formula>
    </cfRule>
  </conditionalFormatting>
  <conditionalFormatting sqref="D3:D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58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027F-9802-7741-8A45-85F80E107C4E}">
  <sheetPr>
    <pageSetUpPr fitToPage="1"/>
  </sheetPr>
  <dimension ref="A1:C14"/>
  <sheetViews>
    <sheetView zoomScale="120" zoomScaleNormal="120" workbookViewId="0">
      <selection activeCell="B1" sqref="B1:C1"/>
    </sheetView>
  </sheetViews>
  <sheetFormatPr baseColWidth="10" defaultRowHeight="13" x14ac:dyDescent="0.15"/>
  <cols>
    <col min="1" max="1" width="12.6640625" customWidth="1"/>
    <col min="2" max="3" width="19.1640625" customWidth="1"/>
  </cols>
  <sheetData>
    <row r="1" spans="1:3" s="3" customFormat="1" ht="17" thickBot="1" x14ac:dyDescent="0.2">
      <c r="A1" s="5" t="s">
        <v>1</v>
      </c>
      <c r="B1" s="72" t="s">
        <v>16</v>
      </c>
      <c r="C1" s="72" t="s">
        <v>24</v>
      </c>
    </row>
    <row r="2" spans="1:3" ht="15" x14ac:dyDescent="0.15">
      <c r="A2" s="44" t="s">
        <v>22</v>
      </c>
      <c r="B2" s="7" t="s">
        <v>42</v>
      </c>
      <c r="C2" s="6" t="s">
        <v>43</v>
      </c>
    </row>
    <row r="3" spans="1:3" ht="15" x14ac:dyDescent="0.15">
      <c r="A3" s="50" t="s">
        <v>19</v>
      </c>
      <c r="B3" s="45">
        <v>1</v>
      </c>
      <c r="C3" s="45">
        <v>1</v>
      </c>
    </row>
    <row r="4" spans="1:3" ht="15" x14ac:dyDescent="0.15">
      <c r="A4" s="50" t="s">
        <v>20</v>
      </c>
      <c r="B4" s="45">
        <v>1</v>
      </c>
      <c r="C4" s="45">
        <v>1</v>
      </c>
    </row>
    <row r="5" spans="1:3" ht="15" x14ac:dyDescent="0.15">
      <c r="A5" s="50" t="s">
        <v>3</v>
      </c>
      <c r="B5" s="45">
        <v>1</v>
      </c>
      <c r="C5" s="45">
        <v>1</v>
      </c>
    </row>
    <row r="6" spans="1:3" ht="15" x14ac:dyDescent="0.15">
      <c r="A6" s="50" t="s">
        <v>21</v>
      </c>
      <c r="B6" s="45">
        <v>1</v>
      </c>
      <c r="C6" s="45">
        <v>1</v>
      </c>
    </row>
    <row r="7" spans="1:3" ht="15" x14ac:dyDescent="0.15">
      <c r="A7" s="50" t="s">
        <v>0</v>
      </c>
      <c r="B7" s="45">
        <v>1</v>
      </c>
      <c r="C7" s="45">
        <v>1</v>
      </c>
    </row>
    <row r="8" spans="1:3" s="56" customFormat="1" ht="20" thickBot="1" x14ac:dyDescent="0.2">
      <c r="A8" s="53" t="s">
        <v>23</v>
      </c>
      <c r="B8" s="54">
        <f>COUNTA(B3:B7)</f>
        <v>5</v>
      </c>
      <c r="C8" s="55">
        <f>COUNTA(C3:C7)</f>
        <v>5</v>
      </c>
    </row>
    <row r="9" spans="1:3" ht="18" thickBot="1" x14ac:dyDescent="0.2">
      <c r="A9" s="48" t="s">
        <v>17</v>
      </c>
      <c r="B9" s="49">
        <v>150</v>
      </c>
      <c r="C9" s="47">
        <v>175</v>
      </c>
    </row>
    <row r="10" spans="1:3" ht="18" thickBot="1" x14ac:dyDescent="0.2">
      <c r="B10" s="51">
        <f>B8*B9</f>
        <v>750</v>
      </c>
      <c r="C10" s="52">
        <f>C8*C9</f>
        <v>875</v>
      </c>
    </row>
    <row r="11" spans="1:3" ht="14" thickBot="1" x14ac:dyDescent="0.2"/>
    <row r="12" spans="1:3" ht="18" thickBot="1" x14ac:dyDescent="0.2">
      <c r="A12" s="42" t="s">
        <v>18</v>
      </c>
      <c r="B12" s="46">
        <f>SUM(B8:C8)</f>
        <v>10</v>
      </c>
      <c r="C12" s="4"/>
    </row>
    <row r="13" spans="1:3" ht="18" thickBot="1" x14ac:dyDescent="0.2">
      <c r="A13" s="2" t="s">
        <v>2</v>
      </c>
      <c r="B13" s="43">
        <f>SUM(B10:C10)</f>
        <v>1625</v>
      </c>
    </row>
    <row r="14" spans="1:3" ht="15" x14ac:dyDescent="0.15">
      <c r="A14" s="1"/>
      <c r="B14" s="1"/>
    </row>
  </sheetData>
  <phoneticPr fontId="3" type="noConversion"/>
  <conditionalFormatting sqref="B13">
    <cfRule type="cellIs" dxfId="1" priority="4" stopIfTrue="1" operator="lessThan">
      <formula>0</formula>
    </cfRule>
  </conditionalFormatting>
  <conditionalFormatting sqref="B3:C7">
    <cfRule type="containsText" dxfId="0" priority="1" operator="containsText" text="1">
      <formula>NOT(ISERROR(SEARCH("1",B3)))</formula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5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AUGUST 2026</vt:lpstr>
      <vt:lpstr>JULY 2026</vt:lpstr>
      <vt:lpstr>APRIL 2026</vt:lpstr>
      <vt:lpstr>'APRIL 2026'!Print_Area</vt:lpstr>
      <vt:lpstr>'AUGUST 2026'!Print_Area</vt:lpstr>
      <vt:lpstr>'JULY 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Luciana Galimberti</cp:lastModifiedBy>
  <cp:lastPrinted>2024-10-25T09:40:34Z</cp:lastPrinted>
  <dcterms:created xsi:type="dcterms:W3CDTF">2023-11-02T16:02:44Z</dcterms:created>
  <dcterms:modified xsi:type="dcterms:W3CDTF">2026-04-24T22:37:52Z</dcterms:modified>
  <cp:category/>
</cp:coreProperties>
</file>