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icachu/Data analysis/Projects/Personal Earning/"/>
    </mc:Choice>
  </mc:AlternateContent>
  <xr:revisionPtr revIDLastSave="0" documentId="13_ncr:1_{8C5DFE01-A109-334A-A09B-418F0BD7C2D6}" xr6:coauthVersionLast="47" xr6:coauthVersionMax="47" xr10:uidLastSave="{00000000-0000-0000-0000-000000000000}"/>
  <bookViews>
    <workbookView xWindow="1720" yWindow="500" windowWidth="31220" windowHeight="21100" activeTab="4" xr2:uid="{00000000-000D-0000-FFFF-FFFF00000000}"/>
  </bookViews>
  <sheets>
    <sheet name="Summary" sheetId="4" r:id="rId1"/>
    <sheet name="JULY 2026" sheetId="26" r:id="rId2"/>
    <sheet name="JUNE 2026" sheetId="25" r:id="rId3"/>
    <sheet name="MAY 2026" sheetId="27" r:id="rId4"/>
    <sheet name="APRIL 2026" sheetId="24" r:id="rId5"/>
    <sheet name="MARCH 2026" sheetId="23" r:id="rId6"/>
    <sheet name="FEBRUARY 2026" sheetId="21" r:id="rId7"/>
    <sheet name="JANUARY 2026" sheetId="22" r:id="rId8"/>
    <sheet name="DECEMBER 2025" sheetId="20" r:id="rId9"/>
    <sheet name="NOVEMBER 2025" sheetId="19" r:id="rId10"/>
    <sheet name="OCTOBER 2025" sheetId="17" r:id="rId11"/>
    <sheet name="SEPTEMBER 2025" sheetId="14" r:id="rId12"/>
    <sheet name="AUGUST 2025" sheetId="16" r:id="rId13"/>
  </sheets>
  <definedNames>
    <definedName name="_xlnm.Print_Area" localSheetId="4">'APRIL 2026'!$A$1:$H$17</definedName>
    <definedName name="_xlnm.Print_Area" localSheetId="12">'AUGUST 2025'!$A$1:$K$8</definedName>
    <definedName name="_xlnm.Print_Area" localSheetId="8">'DECEMBER 2025'!$A$1:$D$16</definedName>
    <definedName name="_xlnm.Print_Area" localSheetId="6">'FEBRUARY 2026'!$A$1:$B$17</definedName>
    <definedName name="_xlnm.Print_Area" localSheetId="7">'JANUARY 2026'!$A$1:$D$16</definedName>
    <definedName name="_xlnm.Print_Area" localSheetId="1">'JULY 2026'!$A$1:$D$16</definedName>
    <definedName name="_xlnm.Print_Area" localSheetId="2">'JUNE 2026'!$A$1:$E$17</definedName>
    <definedName name="_xlnm.Print_Area" localSheetId="5">'MARCH 2026'!$A$1:$H$17</definedName>
    <definedName name="_xlnm.Print_Area" localSheetId="3">'MAY 2026'!$A$1:$H$17</definedName>
    <definedName name="_xlnm.Print_Area" localSheetId="9">'NOVEMBER 2025'!$A$1:$I$17</definedName>
    <definedName name="_xlnm.Print_Area" localSheetId="10">'OCTOBER 2025'!$A$1:$J$17</definedName>
    <definedName name="_xlnm.Print_Area" localSheetId="11">'SEPTEMBER 2025'!$A$1:$K$17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5" l="1"/>
  <c r="E4" i="25"/>
  <c r="D4" i="25"/>
  <c r="C4" i="25"/>
  <c r="B7" i="25" s="1"/>
  <c r="B4" i="25"/>
  <c r="C13" i="4"/>
  <c r="C11" i="4"/>
  <c r="I4" i="27" l="1"/>
  <c r="C10" i="4"/>
  <c r="B2" i="4"/>
  <c r="B13" i="4"/>
  <c r="G4" i="27"/>
  <c r="E4" i="27"/>
  <c r="C4" i="27"/>
  <c r="B4" i="27"/>
  <c r="B6" i="26"/>
  <c r="B9" i="26" s="1"/>
  <c r="B4" i="26"/>
  <c r="D4" i="24"/>
  <c r="B4" i="24"/>
  <c r="C31" i="4"/>
  <c r="B7" i="4"/>
  <c r="B7" i="27" l="1"/>
  <c r="B10" i="27" s="1"/>
  <c r="B11" i="4"/>
  <c r="B7" i="24"/>
  <c r="B10" i="25" l="1"/>
  <c r="C12" i="4" s="1"/>
  <c r="B12" i="4"/>
  <c r="B10" i="24"/>
  <c r="B10" i="4"/>
  <c r="I4" i="23"/>
  <c r="G4" i="23"/>
  <c r="B7" i="23" s="1"/>
  <c r="B4" i="23"/>
  <c r="E4" i="23"/>
  <c r="C4" i="23"/>
  <c r="B8" i="4"/>
  <c r="B4" i="21"/>
  <c r="C7" i="4"/>
  <c r="B4" i="22"/>
  <c r="B6" i="22" s="1"/>
  <c r="B9" i="22" s="1"/>
  <c r="B7" i="21"/>
  <c r="B10" i="21" s="1"/>
  <c r="C8" i="4" s="1"/>
  <c r="B10" i="19"/>
  <c r="B7" i="19"/>
  <c r="B7" i="14"/>
  <c r="B4" i="14"/>
  <c r="D4" i="19"/>
  <c r="J4" i="14"/>
  <c r="B9" i="4" l="1"/>
  <c r="B10" i="23"/>
  <c r="C9" i="4" s="1"/>
  <c r="C6" i="4"/>
  <c r="B4" i="20"/>
  <c r="F4" i="19"/>
  <c r="B6" i="20" l="1"/>
  <c r="B9" i="20" s="1"/>
  <c r="G4" i="19"/>
  <c r="B4" i="19"/>
  <c r="G4" i="17"/>
  <c r="B4" i="17"/>
  <c r="B7" i="17"/>
  <c r="B10" i="17" s="1"/>
  <c r="C4" i="4" s="1"/>
  <c r="E4" i="17"/>
  <c r="C4" i="17"/>
  <c r="C2" i="4"/>
  <c r="B4" i="4" l="1"/>
  <c r="C5" i="4"/>
  <c r="B5" i="4"/>
  <c r="F4" i="14"/>
  <c r="B10" i="14" l="1"/>
  <c r="H4" i="14"/>
  <c r="B3" i="4"/>
  <c r="B14" i="4" s="1"/>
  <c r="D4" i="14"/>
  <c r="C3" i="4" l="1"/>
  <c r="C14" i="4" l="1"/>
  <c r="C33" i="4" s="1"/>
</calcChain>
</file>

<file path=xl/sharedStrings.xml><?xml version="1.0" encoding="utf-8"?>
<sst xmlns="http://schemas.openxmlformats.org/spreadsheetml/2006/main" count="245" uniqueCount="32">
  <si>
    <t>Time</t>
  </si>
  <si>
    <t>Day</t>
  </si>
  <si>
    <t>Value per Hour</t>
  </si>
  <si>
    <t>Total</t>
  </si>
  <si>
    <t>TOTAL Hours</t>
  </si>
  <si>
    <t>Hours per Week</t>
  </si>
  <si>
    <t>Hours per Day</t>
  </si>
  <si>
    <t>WEEK</t>
  </si>
  <si>
    <t>Hours</t>
  </si>
  <si>
    <t xml:space="preserve"> </t>
  </si>
  <si>
    <t>Tuesday - 
Training</t>
  </si>
  <si>
    <t>Saturday - Game</t>
  </si>
  <si>
    <t>H1 payment</t>
  </si>
  <si>
    <t>Amount</t>
  </si>
  <si>
    <t>BENEF.</t>
  </si>
  <si>
    <t>Wednesday - 
Indoor Training</t>
  </si>
  <si>
    <t>Friday - Game</t>
  </si>
  <si>
    <t>Extra</t>
  </si>
  <si>
    <t>To Be Paid</t>
  </si>
  <si>
    <t>Details</t>
  </si>
  <si>
    <t>Date</t>
  </si>
  <si>
    <t>Type</t>
  </si>
  <si>
    <t>Expected</t>
  </si>
  <si>
    <t>Club</t>
  </si>
  <si>
    <t>Quantity</t>
  </si>
  <si>
    <t>Category</t>
  </si>
  <si>
    <t>Paid</t>
  </si>
  <si>
    <t>Estimated</t>
  </si>
  <si>
    <t>Emerald Demons</t>
  </si>
  <si>
    <t>Emerald Demons Private (Cash)</t>
  </si>
  <si>
    <t>Emerald Demons Private</t>
  </si>
  <si>
    <t xml:space="preserve">Emerald Demons HOCKEY CLUB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</si>
</sst>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m/d/yyyy"/>
    <numFmt numFmtId="166" formatCode="#,##0.00\ [$€-80C]"/>
    <numFmt numFmtId="167" formatCode="yyyy\-mm\-dd;@"/>
  </numFmts>
  <fonts count="18" x14ac:knownFonts="1">
    <font>
      <sz val="10"/>
      <color indexed="8"/>
      <name val="Helvetica Neue"/>
    </font>
    <font>
      <sz val="11"/>
      <color indexed="8"/>
      <name val="Calibri"/>
      <family val="2"/>
    </font>
    <font>
      <sz val="13"/>
      <color indexed="8"/>
      <name val="Calibri"/>
      <family val="2"/>
    </font>
    <font>
      <sz val="8"/>
      <name val="Helvetica Neue"/>
      <family val="2"/>
    </font>
    <font>
      <b/>
      <sz val="13"/>
      <color indexed="8"/>
      <name val="Calibri"/>
      <family val="2"/>
    </font>
    <font>
      <i/>
      <u/>
      <sz val="11"/>
      <color indexed="8"/>
      <name val="Calibri"/>
      <family val="2"/>
    </font>
    <font>
      <sz val="10"/>
      <color indexed="8"/>
      <name val="Helvetica Neue"/>
      <family val="2"/>
    </font>
    <font>
      <b/>
      <sz val="12"/>
      <color indexed="8"/>
      <name val="Helvetica Neue"/>
      <family val="2"/>
    </font>
    <font>
      <b/>
      <sz val="11"/>
      <color indexed="8"/>
      <name val="Calibri"/>
      <family val="2"/>
    </font>
    <font>
      <b/>
      <sz val="10"/>
      <color indexed="8"/>
      <name val="Helvetica Neue"/>
      <family val="2"/>
    </font>
    <font>
      <b/>
      <sz val="12"/>
      <color theme="6" tint="-0.249977111117893"/>
      <name val="Helvetica Neue"/>
      <family val="2"/>
    </font>
    <font>
      <sz val="12"/>
      <color indexed="8"/>
      <name val="Helvetica Neue"/>
      <family val="2"/>
    </font>
    <font>
      <b/>
      <i/>
      <sz val="16"/>
      <color rgb="FF00B050"/>
      <name val="Helvetica Neue"/>
      <family val="2"/>
    </font>
    <font>
      <b/>
      <sz val="16"/>
      <color indexed="8"/>
      <name val="Helvetica Neue"/>
      <family val="2"/>
    </font>
    <font>
      <b/>
      <sz val="16"/>
      <color rgb="FFC00000"/>
      <name val="Helvetica Neue"/>
      <family val="2"/>
    </font>
    <font>
      <sz val="14"/>
      <color indexed="8"/>
      <name val="Helvetica Neue"/>
      <family val="2"/>
      <scheme val="major"/>
    </font>
    <font>
      <sz val="14"/>
      <color indexed="8"/>
      <name val="Helvetica Neue"/>
      <family val="2"/>
    </font>
    <font>
      <b/>
      <sz val="14"/>
      <color indexed="8"/>
      <name val="Helvetica Neue (Body)"/>
    </font>
  </fonts>
  <fills count="8">
    <fill>
      <patternFill patternType="none"/>
    </fill>
    <fill>
      <patternFill patternType="gray125"/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rgb="FFFFE3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2">
    <xf numFmtId="0" fontId="0" fillId="0" borderId="0" xfId="0">
      <alignment vertical="top" wrapText="1"/>
    </xf>
    <xf numFmtId="0" fontId="0" fillId="0" borderId="0" xfId="0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16" fontId="8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>
      <alignment vertical="top" wrapText="1"/>
    </xf>
    <xf numFmtId="2" fontId="4" fillId="4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>
      <alignment vertical="top" wrapText="1"/>
    </xf>
    <xf numFmtId="2" fontId="0" fillId="0" borderId="0" xfId="0" applyNumberFormat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2" fontId="4" fillId="3" borderId="11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49" fontId="1" fillId="5" borderId="6" xfId="0" applyNumberFormat="1" applyFont="1" applyFill="1" applyBorder="1" applyAlignment="1">
      <alignment horizontal="center" vertical="center"/>
    </xf>
    <xf numFmtId="1" fontId="1" fillId="5" borderId="6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165" fontId="8" fillId="6" borderId="6" xfId="0" applyNumberFormat="1" applyFont="1" applyFill="1" applyBorder="1" applyAlignment="1">
      <alignment horizontal="center" vertical="center"/>
    </xf>
    <xf numFmtId="165" fontId="5" fillId="6" borderId="6" xfId="0" applyNumberFormat="1" applyFont="1" applyFill="1" applyBorder="1" applyAlignment="1">
      <alignment horizontal="center" vertical="center"/>
    </xf>
    <xf numFmtId="0" fontId="6" fillId="0" borderId="0" xfId="0" applyFont="1">
      <alignment vertical="top" wrapText="1"/>
    </xf>
    <xf numFmtId="49" fontId="1" fillId="2" borderId="6" xfId="0" applyNumberFormat="1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164" fontId="10" fillId="0" borderId="9" xfId="0" applyNumberFormat="1" applyFont="1" applyBorder="1">
      <alignment vertical="top" wrapText="1"/>
    </xf>
    <xf numFmtId="16" fontId="8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 wrapText="1"/>
    </xf>
    <xf numFmtId="16" fontId="8" fillId="0" borderId="13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 wrapText="1"/>
    </xf>
    <xf numFmtId="2" fontId="1" fillId="2" borderId="13" xfId="0" applyNumberFormat="1" applyFont="1" applyFill="1" applyBorder="1" applyAlignment="1">
      <alignment horizontal="center" vertical="center"/>
    </xf>
    <xf numFmtId="1" fontId="1" fillId="5" borderId="14" xfId="0" applyNumberFormat="1" applyFont="1" applyFill="1" applyBorder="1" applyAlignment="1">
      <alignment horizontal="center" vertical="center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 wrapText="1"/>
    </xf>
    <xf numFmtId="1" fontId="1" fillId="2" borderId="13" xfId="0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top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>
      <alignment vertical="top" wrapText="1"/>
    </xf>
    <xf numFmtId="166" fontId="14" fillId="0" borderId="6" xfId="0" applyNumberFormat="1" applyFont="1" applyBorder="1" applyAlignment="1">
      <alignment vertical="center" wrapText="1"/>
    </xf>
    <xf numFmtId="164" fontId="13" fillId="0" borderId="0" xfId="0" applyNumberFormat="1" applyFont="1" applyBorder="1">
      <alignment vertical="top" wrapText="1"/>
    </xf>
    <xf numFmtId="164" fontId="10" fillId="0" borderId="0" xfId="0" applyNumberFormat="1" applyFont="1" applyBorder="1">
      <alignment vertical="top" wrapText="1"/>
    </xf>
    <xf numFmtId="166" fontId="14" fillId="0" borderId="0" xfId="0" applyNumberFormat="1" applyFont="1" applyBorder="1" applyAlignment="1">
      <alignment vertical="center" wrapText="1"/>
    </xf>
    <xf numFmtId="0" fontId="6" fillId="0" borderId="21" xfId="0" applyFont="1" applyBorder="1">
      <alignment vertical="top" wrapText="1"/>
    </xf>
    <xf numFmtId="167" fontId="15" fillId="0" borderId="7" xfId="0" applyNumberFormat="1" applyFont="1" applyBorder="1">
      <alignment vertical="top" wrapText="1"/>
    </xf>
    <xf numFmtId="2" fontId="15" fillId="0" borderId="7" xfId="0" applyNumberFormat="1" applyFont="1" applyBorder="1" applyAlignment="1">
      <alignment horizontal="center" vertical="top" wrapText="1"/>
    </xf>
    <xf numFmtId="164" fontId="15" fillId="0" borderId="7" xfId="0" applyNumberFormat="1" applyFont="1" applyBorder="1">
      <alignment vertical="top" wrapText="1"/>
    </xf>
    <xf numFmtId="164" fontId="15" fillId="0" borderId="21" xfId="0" applyNumberFormat="1" applyFont="1" applyBorder="1">
      <alignment vertical="top" wrapText="1"/>
    </xf>
    <xf numFmtId="0" fontId="15" fillId="0" borderId="12" xfId="0" applyFont="1" applyBorder="1">
      <alignment vertical="top" wrapText="1"/>
    </xf>
    <xf numFmtId="167" fontId="15" fillId="0" borderId="5" xfId="0" applyNumberFormat="1" applyFont="1" applyBorder="1">
      <alignment vertical="top" wrapText="1"/>
    </xf>
    <xf numFmtId="2" fontId="15" fillId="0" borderId="5" xfId="0" applyNumberFormat="1" applyFont="1" applyBorder="1" applyAlignment="1">
      <alignment horizontal="center" vertical="top" wrapText="1"/>
    </xf>
    <xf numFmtId="164" fontId="15" fillId="0" borderId="5" xfId="0" applyNumberFormat="1" applyFont="1" applyBorder="1">
      <alignment vertical="top" wrapText="1"/>
    </xf>
    <xf numFmtId="167" fontId="15" fillId="0" borderId="8" xfId="0" applyNumberFormat="1" applyFont="1" applyBorder="1">
      <alignment vertical="top" wrapText="1"/>
    </xf>
    <xf numFmtId="2" fontId="15" fillId="0" borderId="8" xfId="0" applyNumberFormat="1" applyFont="1" applyBorder="1" applyAlignment="1">
      <alignment horizontal="center" vertical="top" wrapText="1"/>
    </xf>
    <xf numFmtId="164" fontId="15" fillId="0" borderId="8" xfId="0" applyNumberFormat="1" applyFont="1" applyBorder="1">
      <alignment vertical="top" wrapText="1"/>
    </xf>
    <xf numFmtId="167" fontId="15" fillId="0" borderId="16" xfId="0" applyNumberFormat="1" applyFont="1" applyBorder="1">
      <alignment vertical="top" wrapText="1"/>
    </xf>
    <xf numFmtId="167" fontId="15" fillId="0" borderId="0" xfId="0" applyNumberFormat="1" applyFont="1">
      <alignment vertical="top" wrapText="1"/>
    </xf>
    <xf numFmtId="2" fontId="16" fillId="0" borderId="17" xfId="0" applyNumberFormat="1" applyFont="1" applyFill="1" applyBorder="1">
      <alignment vertical="top" wrapText="1"/>
    </xf>
    <xf numFmtId="164" fontId="16" fillId="0" borderId="17" xfId="0" applyNumberFormat="1" applyFont="1" applyFill="1" applyBorder="1">
      <alignment vertical="top" wrapText="1"/>
    </xf>
    <xf numFmtId="0" fontId="16" fillId="0" borderId="12" xfId="0" applyFont="1" applyBorder="1">
      <alignment vertical="top" wrapText="1"/>
    </xf>
    <xf numFmtId="164" fontId="16" fillId="0" borderId="21" xfId="0" applyNumberFormat="1" applyFont="1" applyBorder="1">
      <alignment vertical="top" wrapText="1"/>
    </xf>
    <xf numFmtId="0" fontId="16" fillId="0" borderId="0" xfId="0" applyFont="1">
      <alignment vertical="top" wrapText="1"/>
    </xf>
    <xf numFmtId="2" fontId="16" fillId="0" borderId="5" xfId="0" applyNumberFormat="1" applyFont="1" applyBorder="1">
      <alignment vertical="top" wrapText="1"/>
    </xf>
    <xf numFmtId="164" fontId="16" fillId="0" borderId="5" xfId="0" applyNumberFormat="1" applyFont="1" applyFill="1" applyBorder="1">
      <alignment vertical="top" wrapText="1"/>
    </xf>
    <xf numFmtId="2" fontId="16" fillId="0" borderId="5" xfId="0" applyNumberFormat="1" applyFont="1" applyFill="1" applyBorder="1">
      <alignment vertical="top" wrapText="1"/>
    </xf>
    <xf numFmtId="43" fontId="16" fillId="0" borderId="0" xfId="0" applyNumberFormat="1" applyFont="1">
      <alignment vertical="top" wrapText="1"/>
    </xf>
    <xf numFmtId="167" fontId="16" fillId="0" borderId="18" xfId="0" applyNumberFormat="1" applyFont="1" applyBorder="1" applyAlignment="1">
      <alignment horizontal="center" vertical="center" wrapText="1"/>
    </xf>
    <xf numFmtId="2" fontId="16" fillId="0" borderId="19" xfId="0" applyNumberFormat="1" applyFont="1" applyFill="1" applyBorder="1">
      <alignment vertical="top" wrapText="1"/>
    </xf>
    <xf numFmtId="164" fontId="16" fillId="0" borderId="19" xfId="0" applyNumberFormat="1" applyFont="1" applyFill="1" applyBorder="1">
      <alignment vertical="top" wrapText="1"/>
    </xf>
    <xf numFmtId="49" fontId="16" fillId="0" borderId="20" xfId="0" applyNumberFormat="1" applyFont="1" applyBorder="1">
      <alignment vertical="top" wrapText="1"/>
    </xf>
    <xf numFmtId="0" fontId="6" fillId="0" borderId="16" xfId="0" applyFont="1" applyBorder="1">
      <alignment vertical="top" wrapText="1"/>
    </xf>
    <xf numFmtId="0" fontId="6" fillId="0" borderId="22" xfId="0" applyFont="1" applyBorder="1">
      <alignment vertical="top" wrapText="1"/>
    </xf>
    <xf numFmtId="0" fontId="13" fillId="0" borderId="9" xfId="0" applyFont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2" fontId="16" fillId="0" borderId="8" xfId="0" applyNumberFormat="1" applyFont="1" applyFill="1" applyBorder="1">
      <alignment vertical="top" wrapText="1"/>
    </xf>
    <xf numFmtId="164" fontId="16" fillId="0" borderId="8" xfId="0" applyNumberFormat="1" applyFont="1" applyFill="1" applyBorder="1">
      <alignment vertical="top" wrapText="1"/>
    </xf>
    <xf numFmtId="164" fontId="15" fillId="0" borderId="23" xfId="0" applyNumberFormat="1" applyFont="1" applyBorder="1">
      <alignment vertical="top" wrapText="1"/>
    </xf>
    <xf numFmtId="164" fontId="16" fillId="0" borderId="23" xfId="0" applyNumberFormat="1" applyFont="1" applyBorder="1">
      <alignment vertical="top" wrapText="1"/>
    </xf>
    <xf numFmtId="0" fontId="16" fillId="0" borderId="25" xfId="0" applyFont="1" applyBorder="1">
      <alignment vertical="top" wrapText="1"/>
    </xf>
    <xf numFmtId="2" fontId="15" fillId="0" borderId="5" xfId="0" applyNumberFormat="1" applyFont="1" applyFill="1" applyBorder="1" applyAlignment="1">
      <alignment horizontal="center" vertical="top" wrapText="1"/>
    </xf>
    <xf numFmtId="164" fontId="15" fillId="0" borderId="5" xfId="0" applyNumberFormat="1" applyFont="1" applyFill="1" applyBorder="1">
      <alignment vertical="top" wrapText="1"/>
    </xf>
    <xf numFmtId="164" fontId="17" fillId="0" borderId="6" xfId="0" applyNumberFormat="1" applyFont="1" applyBorder="1">
      <alignment vertical="top" wrapText="1"/>
    </xf>
    <xf numFmtId="2" fontId="15" fillId="7" borderId="5" xfId="0" applyNumberFormat="1" applyFont="1" applyFill="1" applyBorder="1" applyAlignment="1">
      <alignment horizontal="center" vertical="top" wrapText="1"/>
    </xf>
    <xf numFmtId="164" fontId="15" fillId="7" borderId="5" xfId="0" applyNumberFormat="1" applyFont="1" applyFill="1" applyBorder="1">
      <alignment vertical="top" wrapText="1"/>
    </xf>
    <xf numFmtId="2" fontId="15" fillId="7" borderId="8" xfId="0" applyNumberFormat="1" applyFont="1" applyFill="1" applyBorder="1" applyAlignment="1">
      <alignment horizontal="center" vertical="top" wrapText="1"/>
    </xf>
    <xf numFmtId="164" fontId="15" fillId="7" borderId="8" xfId="0" applyNumberFormat="1" applyFont="1" applyFill="1" applyBorder="1">
      <alignment vertical="top" wrapText="1"/>
    </xf>
    <xf numFmtId="0" fontId="7" fillId="0" borderId="24" xfId="0" applyFont="1" applyFill="1" applyBorder="1" applyAlignment="1">
      <alignment horizontal="center" vertical="center" wrapText="1"/>
    </xf>
    <xf numFmtId="167" fontId="16" fillId="0" borderId="26" xfId="0" applyNumberFormat="1" applyFont="1" applyBorder="1" applyAlignment="1">
      <alignment horizontal="center" vertical="center" wrapText="1"/>
    </xf>
    <xf numFmtId="49" fontId="16" fillId="0" borderId="30" xfId="0" applyNumberFormat="1" applyFont="1" applyBorder="1">
      <alignment vertical="top" wrapText="1"/>
    </xf>
    <xf numFmtId="167" fontId="16" fillId="0" borderId="27" xfId="0" applyNumberFormat="1" applyFont="1" applyBorder="1" applyAlignment="1">
      <alignment horizontal="center" vertical="center" wrapText="1"/>
    </xf>
    <xf numFmtId="49" fontId="16" fillId="0" borderId="29" xfId="0" applyNumberFormat="1" applyFont="1" applyBorder="1">
      <alignment vertical="top" wrapText="1"/>
    </xf>
    <xf numFmtId="167" fontId="16" fillId="0" borderId="28" xfId="0" applyNumberFormat="1" applyFont="1" applyBorder="1" applyAlignment="1">
      <alignment horizontal="center" vertical="center" wrapText="1"/>
    </xf>
    <xf numFmtId="49" fontId="16" fillId="0" borderId="31" xfId="0" applyNumberFormat="1" applyFont="1" applyBorder="1">
      <alignment vertical="top" wrapText="1"/>
    </xf>
    <xf numFmtId="0" fontId="16" fillId="0" borderId="33" xfId="0" applyFont="1" applyBorder="1">
      <alignment vertical="top" wrapText="1"/>
    </xf>
    <xf numFmtId="164" fontId="16" fillId="0" borderId="34" xfId="0" applyNumberFormat="1" applyFont="1" applyBorder="1">
      <alignment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12" fillId="0" borderId="3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1" fontId="1" fillId="5" borderId="14" xfId="0" applyNumberFormat="1" applyFont="1" applyFill="1" applyBorder="1" applyAlignment="1">
      <alignment horizontal="center" vertical="center"/>
    </xf>
    <xf numFmtId="1" fontId="1" fillId="5" borderId="15" xfId="0" applyNumberFormat="1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1" fontId="1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major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16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167" formatCode="yyyy\-mm\-dd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major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major"/>
      </font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major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major"/>
      </font>
      <numFmt numFmtId="164" formatCode="_-* #,##0.00\ &quot;€&quot;_-;\-* #,##0.00\ &quot;€&quot;_-;_-* &quot;-&quot;??\ &quot;€&quot;_-;_-@_-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major"/>
      </font>
      <numFmt numFmtId="2" formatCode="0.00"/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major"/>
      </font>
      <numFmt numFmtId="167" formatCode="yyyy\-mm\-dd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Helvetica Neue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C5DEB5"/>
      <rgbColor rgb="FFFFF056"/>
      <rgbColor rgb="FFA9CD90"/>
      <rgbColor rgb="FFAAAAAA"/>
      <rgbColor rgb="FFE7E6E6"/>
      <rgbColor rgb="FF72FCE9"/>
      <rgbColor rgb="FFFF968C"/>
      <rgbColor rgb="FFDDDDDD"/>
      <rgbColor rgb="FF88F94E"/>
      <rgbColor rgb="FFD8D8D8"/>
      <rgbColor rgb="FFFFE265"/>
      <rgbColor rgb="FFD4D4D4"/>
      <rgbColor rgb="FFFF0000"/>
      <rgbColor rgb="FFF6BE98"/>
      <rgbColor rgb="FFF7CBAC"/>
      <rgbColor rgb="FF88E168"/>
      <rgbColor rgb="FF92D050"/>
      <rgbColor rgb="FFB0EB9A"/>
      <rgbColor rgb="FF7F7F7F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365"/>
      <color rgb="FFFF96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C4168-0153-9D4B-AB53-2B0A0931FEE6}" name="Expected_Green_Devils" displayName="Expected_Green_Devils" ref="A1:G13" totalsRowShown="0" headerRowDxfId="29" headerRowBorderDxfId="28" tableBorderDxfId="27">
  <autoFilter ref="A1:G13" xr:uid="{792C4168-0153-9D4B-AB53-2B0A0931FEE6}"/>
  <tableColumns count="7">
    <tableColumn id="1" xr3:uid="{FF11F0FA-056D-E441-BEC6-A6977E072B7F}" name="Date" dataDxfId="26"/>
    <tableColumn id="2" xr3:uid="{EB535AE5-C0D0-6F4B-9312-BC13E600357D}" name="Quantity" dataDxfId="25"/>
    <tableColumn id="3" xr3:uid="{556D4915-B55D-0A44-B5C0-C809EF489151}" name="Amount" dataDxfId="24"/>
    <tableColumn id="4" xr3:uid="{2B552F09-D281-9F48-8D2C-0CD205AFCDC5}" name="Category" dataDxfId="23"/>
    <tableColumn id="5" xr3:uid="{89C54AD7-94C6-DB4D-AF18-B65C82CA787C}" name="Type" dataDxfId="22"/>
    <tableColumn id="6" xr3:uid="{A30B8542-79CD-114C-B930-6DAD71995970}" name="Club" dataDxfId="21"/>
    <tableColumn id="7" xr3:uid="{2AFFC699-A736-0D46-B98E-B810AA0725FF}" name="Details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2E09A-EADD-DE44-B829-D99BAAF104CB}" name="Paid_Green_Devils" displayName="Paid_Green_Devils" ref="A18:G29" totalsRowShown="0" tableBorderDxfId="19">
  <autoFilter ref="A18:G29" xr:uid="{AC92E09A-EADD-DE44-B829-D99BAAF104CB}"/>
  <tableColumns count="7">
    <tableColumn id="1" xr3:uid="{68DE9611-8E43-5340-A793-37927B4CAE47}" name="Date" dataDxfId="18"/>
    <tableColumn id="2" xr3:uid="{3C9BB817-6DC0-254B-B5D4-285EB6E745E0}" name="BENEF." dataDxfId="17"/>
    <tableColumn id="3" xr3:uid="{ED945B4D-F795-4F44-B7CF-FBA48AF2E208}" name="Amount" dataDxfId="16"/>
    <tableColumn id="4" xr3:uid="{C5AF433E-B357-9640-8827-C21C21588902}" name="Category" dataDxfId="15"/>
    <tableColumn id="5" xr3:uid="{6C6C302A-BF82-494D-B676-F6D1B088B97E}" name="Type" dataDxfId="14"/>
    <tableColumn id="6" xr3:uid="{4353F528-E85B-934C-804C-C7592791D9D1}" name="Club" dataDxfId="13"/>
    <tableColumn id="7" xr3:uid="{A41CBC7C-EC94-7D46-8A81-87510E258204}" name="Details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D557-90A8-F941-9D56-5D2B944FA30F}">
  <dimension ref="A1:J33"/>
  <sheetViews>
    <sheetView workbookViewId="0">
      <selection activeCell="B22" sqref="B22"/>
    </sheetView>
  </sheetViews>
  <sheetFormatPr baseColWidth="10" defaultRowHeight="16" x14ac:dyDescent="0.15"/>
  <cols>
    <col min="1" max="1" width="17.33203125" style="34" bestFit="1" customWidth="1"/>
    <col min="2" max="2" width="42.33203125" style="34" bestFit="1" customWidth="1"/>
    <col min="3" max="3" width="17.1640625" style="34" bestFit="1" customWidth="1"/>
    <col min="4" max="4" width="15.1640625" style="34" customWidth="1"/>
    <col min="5" max="5" width="12.1640625" style="34" bestFit="1" customWidth="1"/>
    <col min="6" max="6" width="20.33203125" style="34" bestFit="1" customWidth="1"/>
    <col min="7" max="7" width="10" style="34" customWidth="1"/>
    <col min="8" max="8" width="10.83203125" style="34"/>
    <col min="9" max="9" width="12.1640625" style="34" bestFit="1" customWidth="1"/>
    <col min="10" max="10" width="6.33203125" style="34" bestFit="1" customWidth="1"/>
    <col min="11" max="11" width="7.5" style="34" bestFit="1" customWidth="1"/>
    <col min="12" max="16384" width="10.83203125" style="34"/>
  </cols>
  <sheetData>
    <row r="1" spans="1:7" ht="22" thickBot="1" x14ac:dyDescent="0.2">
      <c r="A1" s="76" t="s">
        <v>20</v>
      </c>
      <c r="B1" s="76" t="s">
        <v>24</v>
      </c>
      <c r="C1" s="76" t="s">
        <v>13</v>
      </c>
      <c r="D1" s="76" t="s">
        <v>25</v>
      </c>
      <c r="E1" s="77" t="s">
        <v>21</v>
      </c>
      <c r="F1" s="76" t="s">
        <v>23</v>
      </c>
      <c r="G1" s="78" t="s">
        <v>19</v>
      </c>
    </row>
    <row r="2" spans="1:7" ht="19" x14ac:dyDescent="0.15">
      <c r="A2" s="48">
        <v>45900</v>
      </c>
      <c r="B2" s="49">
        <f>'AUGUST 2025'!B2</f>
        <v>0</v>
      </c>
      <c r="C2" s="50">
        <f>'AUGUST 2025'!B1</f>
        <v>1000</v>
      </c>
      <c r="D2" s="51" t="s">
        <v>8</v>
      </c>
      <c r="E2" s="52" t="s">
        <v>22</v>
      </c>
      <c r="F2" s="51" t="s">
        <v>28</v>
      </c>
      <c r="G2" s="47"/>
    </row>
    <row r="3" spans="1:7" ht="19" x14ac:dyDescent="0.15">
      <c r="A3" s="53">
        <v>45930</v>
      </c>
      <c r="B3" s="54">
        <f>'SEPTEMBER 2025'!B7</f>
        <v>15.5</v>
      </c>
      <c r="C3" s="55">
        <f>'SEPTEMBER 2025'!B10</f>
        <v>1542.5</v>
      </c>
      <c r="D3" s="51" t="s">
        <v>8</v>
      </c>
      <c r="E3" s="52" t="s">
        <v>22</v>
      </c>
      <c r="F3" s="51" t="s">
        <v>28</v>
      </c>
      <c r="G3" s="74"/>
    </row>
    <row r="4" spans="1:7" ht="19" x14ac:dyDescent="0.15">
      <c r="A4" s="56">
        <v>45961</v>
      </c>
      <c r="B4" s="57">
        <f>'OCTOBER 2025'!B7</f>
        <v>10.5</v>
      </c>
      <c r="C4" s="55">
        <f>'OCTOBER 2025'!B10</f>
        <v>1367.5</v>
      </c>
      <c r="D4" s="51" t="s">
        <v>8</v>
      </c>
      <c r="E4" s="52" t="s">
        <v>22</v>
      </c>
      <c r="F4" s="51" t="s">
        <v>28</v>
      </c>
      <c r="G4" s="47"/>
    </row>
    <row r="5" spans="1:7" ht="19" x14ac:dyDescent="0.15">
      <c r="A5" s="53">
        <v>45991</v>
      </c>
      <c r="B5" s="54">
        <f>'NOVEMBER 2025'!B7</f>
        <v>14.5</v>
      </c>
      <c r="C5" s="55">
        <f>'NOVEMBER 2025'!B10</f>
        <v>1521.5</v>
      </c>
      <c r="D5" s="51" t="s">
        <v>8</v>
      </c>
      <c r="E5" s="52" t="s">
        <v>22</v>
      </c>
      <c r="F5" s="51" t="s">
        <v>28</v>
      </c>
      <c r="G5" s="74"/>
    </row>
    <row r="6" spans="1:7" ht="19" x14ac:dyDescent="0.15">
      <c r="A6" s="53">
        <v>46022</v>
      </c>
      <c r="B6" s="54">
        <v>2</v>
      </c>
      <c r="C6" s="55">
        <f>'DECEMBER 2025'!B9</f>
        <v>1070</v>
      </c>
      <c r="D6" s="51" t="s">
        <v>8</v>
      </c>
      <c r="E6" s="52" t="s">
        <v>22</v>
      </c>
      <c r="F6" s="51" t="s">
        <v>28</v>
      </c>
      <c r="G6" s="74"/>
    </row>
    <row r="7" spans="1:7" ht="19" x14ac:dyDescent="0.15">
      <c r="A7" s="53">
        <v>46053</v>
      </c>
      <c r="B7" s="54">
        <f>'JANUARY 2026'!B6</f>
        <v>0</v>
      </c>
      <c r="C7" s="55">
        <f>'JANUARY 2026'!B9</f>
        <v>1000</v>
      </c>
      <c r="D7" s="51" t="s">
        <v>8</v>
      </c>
      <c r="E7" s="52" t="s">
        <v>22</v>
      </c>
      <c r="F7" s="51" t="s">
        <v>28</v>
      </c>
      <c r="G7" s="74"/>
    </row>
    <row r="8" spans="1:7" ht="19" x14ac:dyDescent="0.15">
      <c r="A8" s="53">
        <v>46081</v>
      </c>
      <c r="B8" s="54">
        <f>'FEBRUARY 2026'!B7</f>
        <v>1.5</v>
      </c>
      <c r="C8" s="55">
        <f>'FEBRUARY 2026'!B10</f>
        <v>1052.5</v>
      </c>
      <c r="D8" s="51" t="s">
        <v>8</v>
      </c>
      <c r="E8" s="52" t="s">
        <v>22</v>
      </c>
      <c r="F8" s="51" t="s">
        <v>28</v>
      </c>
      <c r="G8" s="74"/>
    </row>
    <row r="9" spans="1:7" ht="19" x14ac:dyDescent="0.15">
      <c r="A9" s="56">
        <v>46112</v>
      </c>
      <c r="B9" s="57">
        <f>'MARCH 2026'!B7</f>
        <v>12.5</v>
      </c>
      <c r="C9" s="58">
        <f>'MARCH 2026'!B10</f>
        <v>1437.5</v>
      </c>
      <c r="D9" s="51" t="s">
        <v>8</v>
      </c>
      <c r="E9" s="52" t="s">
        <v>22</v>
      </c>
      <c r="F9" s="51" t="s">
        <v>28</v>
      </c>
      <c r="G9" s="74"/>
    </row>
    <row r="10" spans="1:7" ht="19" x14ac:dyDescent="0.15">
      <c r="A10" s="59">
        <v>46142</v>
      </c>
      <c r="B10" s="85">
        <f>'APRIL 2026'!B7</f>
        <v>5</v>
      </c>
      <c r="C10" s="86">
        <f>'APRIL 2026'!B10</f>
        <v>1175</v>
      </c>
      <c r="D10" s="51" t="s">
        <v>8</v>
      </c>
      <c r="E10" s="52" t="s">
        <v>22</v>
      </c>
      <c r="F10" s="51" t="s">
        <v>28</v>
      </c>
      <c r="G10" s="74"/>
    </row>
    <row r="11" spans="1:7" ht="19" x14ac:dyDescent="0.15">
      <c r="A11" s="59">
        <v>46173</v>
      </c>
      <c r="B11" s="88">
        <f>'MAY 2026'!B7</f>
        <v>16</v>
      </c>
      <c r="C11" s="89">
        <f>'MAY 2026'!B10</f>
        <v>1560</v>
      </c>
      <c r="D11" s="51" t="s">
        <v>8</v>
      </c>
      <c r="E11" s="52" t="s">
        <v>27</v>
      </c>
      <c r="F11" s="51" t="s">
        <v>28</v>
      </c>
      <c r="G11" s="74"/>
    </row>
    <row r="12" spans="1:7" ht="19" x14ac:dyDescent="0.15">
      <c r="A12" s="59">
        <v>46203</v>
      </c>
      <c r="B12" s="88">
        <f>'JUNE 2026'!B7</f>
        <v>7.5</v>
      </c>
      <c r="C12" s="89">
        <f>'JUNE 2026'!B10</f>
        <v>1262.5</v>
      </c>
      <c r="D12" s="51" t="s">
        <v>8</v>
      </c>
      <c r="E12" s="52" t="s">
        <v>27</v>
      </c>
      <c r="F12" s="51" t="s">
        <v>28</v>
      </c>
      <c r="G12" s="74"/>
    </row>
    <row r="13" spans="1:7" ht="20" thickBot="1" x14ac:dyDescent="0.2">
      <c r="A13" s="60">
        <v>46234</v>
      </c>
      <c r="B13" s="90">
        <f>'JULY 2026'!B6</f>
        <v>0</v>
      </c>
      <c r="C13" s="91">
        <f>'JULY 2026'!B9</f>
        <v>1000</v>
      </c>
      <c r="D13" s="51" t="s">
        <v>8</v>
      </c>
      <c r="E13" s="52" t="s">
        <v>27</v>
      </c>
      <c r="F13" s="51" t="s">
        <v>28</v>
      </c>
      <c r="G13" s="75"/>
    </row>
    <row r="14" spans="1:7" ht="22" thickBot="1" x14ac:dyDescent="0.2">
      <c r="A14" s="42" t="s">
        <v>3</v>
      </c>
      <c r="B14" s="41">
        <f>SUM(B2:B12)</f>
        <v>85</v>
      </c>
      <c r="C14" s="87">
        <f>SUMIF(E2:E13,"Expected",C2:C13)</f>
        <v>11166.5</v>
      </c>
      <c r="D14" s="44"/>
      <c r="F14" s="44"/>
    </row>
    <row r="16" spans="1:7" ht="17" thickBot="1" x14ac:dyDescent="0.2"/>
    <row r="17" spans="1:10" ht="22" customHeight="1" thickBot="1" x14ac:dyDescent="0.2">
      <c r="A17" s="103" t="s">
        <v>26</v>
      </c>
      <c r="B17" s="104"/>
      <c r="C17" s="104"/>
      <c r="D17" s="104"/>
      <c r="E17" s="104"/>
      <c r="F17" s="104"/>
      <c r="G17" s="105"/>
    </row>
    <row r="18" spans="1:10" s="35" customFormat="1" ht="22" thickBot="1" x14ac:dyDescent="0.2">
      <c r="A18" s="79" t="s">
        <v>20</v>
      </c>
      <c r="B18" s="79" t="s">
        <v>14</v>
      </c>
      <c r="C18" s="79" t="s">
        <v>13</v>
      </c>
      <c r="D18" s="76" t="s">
        <v>25</v>
      </c>
      <c r="E18" s="77" t="s">
        <v>21</v>
      </c>
      <c r="F18" s="76" t="s">
        <v>23</v>
      </c>
      <c r="G18" s="92" t="s">
        <v>19</v>
      </c>
    </row>
    <row r="19" spans="1:10" s="65" customFormat="1" ht="19" x14ac:dyDescent="0.15">
      <c r="A19" s="93">
        <v>45946</v>
      </c>
      <c r="B19" s="61" t="s">
        <v>31</v>
      </c>
      <c r="C19" s="62">
        <v>713.88</v>
      </c>
      <c r="D19" s="51" t="s">
        <v>8</v>
      </c>
      <c r="E19" s="63" t="s">
        <v>26</v>
      </c>
      <c r="F19" s="64" t="s">
        <v>28</v>
      </c>
      <c r="G19" s="94"/>
    </row>
    <row r="20" spans="1:10" s="65" customFormat="1" ht="19" x14ac:dyDescent="0.15">
      <c r="A20" s="95">
        <v>45948</v>
      </c>
      <c r="B20" s="66" t="s">
        <v>29</v>
      </c>
      <c r="C20" s="67">
        <v>1000</v>
      </c>
      <c r="D20" s="51" t="s">
        <v>8</v>
      </c>
      <c r="E20" s="63" t="s">
        <v>26</v>
      </c>
      <c r="F20" s="64" t="s">
        <v>28</v>
      </c>
      <c r="G20" s="96"/>
    </row>
    <row r="21" spans="1:10" s="65" customFormat="1" ht="19" x14ac:dyDescent="0.15">
      <c r="A21" s="95">
        <v>45950</v>
      </c>
      <c r="B21" s="66" t="s">
        <v>30</v>
      </c>
      <c r="C21" s="67">
        <v>500</v>
      </c>
      <c r="D21" s="51" t="s">
        <v>8</v>
      </c>
      <c r="E21" s="63" t="s">
        <v>26</v>
      </c>
      <c r="F21" s="64" t="s">
        <v>28</v>
      </c>
      <c r="G21" s="96"/>
    </row>
    <row r="22" spans="1:10" s="65" customFormat="1" ht="19" x14ac:dyDescent="0.15">
      <c r="A22" s="95">
        <v>45981</v>
      </c>
      <c r="B22" s="68" t="s">
        <v>31</v>
      </c>
      <c r="C22" s="67">
        <v>1208</v>
      </c>
      <c r="D22" s="51" t="s">
        <v>8</v>
      </c>
      <c r="E22" s="63" t="s">
        <v>26</v>
      </c>
      <c r="F22" s="64" t="s">
        <v>28</v>
      </c>
      <c r="G22" s="96"/>
    </row>
    <row r="23" spans="1:10" s="65" customFormat="1" ht="19" x14ac:dyDescent="0.15">
      <c r="A23" s="95">
        <v>45998</v>
      </c>
      <c r="B23" s="68" t="s">
        <v>31</v>
      </c>
      <c r="C23" s="67">
        <v>1500</v>
      </c>
      <c r="D23" s="51" t="s">
        <v>8</v>
      </c>
      <c r="E23" s="63" t="s">
        <v>26</v>
      </c>
      <c r="F23" s="64" t="s">
        <v>28</v>
      </c>
      <c r="G23" s="96"/>
    </row>
    <row r="24" spans="1:10" s="65" customFormat="1" ht="19" x14ac:dyDescent="0.15">
      <c r="A24" s="95">
        <v>46026</v>
      </c>
      <c r="B24" s="68" t="s">
        <v>31</v>
      </c>
      <c r="C24" s="67">
        <v>1000</v>
      </c>
      <c r="D24" s="51" t="s">
        <v>8</v>
      </c>
      <c r="E24" s="63" t="s">
        <v>26</v>
      </c>
      <c r="F24" s="64" t="s">
        <v>28</v>
      </c>
      <c r="G24" s="96"/>
    </row>
    <row r="25" spans="1:10" s="65" customFormat="1" ht="19" x14ac:dyDescent="0.15">
      <c r="A25" s="95">
        <v>46045</v>
      </c>
      <c r="B25" s="68" t="s">
        <v>31</v>
      </c>
      <c r="C25" s="67">
        <v>579.62</v>
      </c>
      <c r="D25" s="51" t="s">
        <v>8</v>
      </c>
      <c r="E25" s="63" t="s">
        <v>26</v>
      </c>
      <c r="F25" s="64" t="s">
        <v>28</v>
      </c>
      <c r="G25" s="96"/>
      <c r="J25" s="69"/>
    </row>
    <row r="26" spans="1:10" s="65" customFormat="1" ht="19" x14ac:dyDescent="0.15">
      <c r="A26" s="95">
        <v>46058</v>
      </c>
      <c r="B26" s="68" t="s">
        <v>31</v>
      </c>
      <c r="C26" s="67">
        <v>1000</v>
      </c>
      <c r="D26" s="51" t="s">
        <v>8</v>
      </c>
      <c r="E26" s="63" t="s">
        <v>26</v>
      </c>
      <c r="F26" s="64" t="s">
        <v>28</v>
      </c>
      <c r="G26" s="96"/>
      <c r="J26" s="69"/>
    </row>
    <row r="27" spans="1:10" s="65" customFormat="1" ht="19" x14ac:dyDescent="0.15">
      <c r="A27" s="97">
        <v>46083</v>
      </c>
      <c r="B27" s="80" t="s">
        <v>31</v>
      </c>
      <c r="C27" s="81">
        <v>1000</v>
      </c>
      <c r="D27" s="82" t="s">
        <v>8</v>
      </c>
      <c r="E27" s="63" t="s">
        <v>26</v>
      </c>
      <c r="F27" s="83" t="s">
        <v>28</v>
      </c>
      <c r="G27" s="98"/>
      <c r="J27" s="69"/>
    </row>
    <row r="28" spans="1:10" s="65" customFormat="1" ht="19" x14ac:dyDescent="0.15">
      <c r="A28" s="97">
        <v>46114</v>
      </c>
      <c r="B28" s="80" t="s">
        <v>31</v>
      </c>
      <c r="C28" s="81">
        <v>1000</v>
      </c>
      <c r="D28" s="82" t="s">
        <v>8</v>
      </c>
      <c r="E28" s="63" t="s">
        <v>26</v>
      </c>
      <c r="F28" s="83" t="s">
        <v>28</v>
      </c>
      <c r="G28" s="98"/>
      <c r="J28" s="69"/>
    </row>
    <row r="29" spans="1:10" s="65" customFormat="1" ht="19" x14ac:dyDescent="0.15">
      <c r="A29" s="97">
        <v>46120</v>
      </c>
      <c r="B29" s="80" t="s">
        <v>31</v>
      </c>
      <c r="C29" s="81">
        <v>490</v>
      </c>
      <c r="D29" s="82" t="s">
        <v>8</v>
      </c>
      <c r="E29" s="84" t="s">
        <v>26</v>
      </c>
      <c r="F29" s="83" t="s">
        <v>28</v>
      </c>
      <c r="G29" s="98"/>
      <c r="J29" s="69"/>
    </row>
    <row r="30" spans="1:10" s="65" customFormat="1" ht="19" thickBot="1" x14ac:dyDescent="0.2">
      <c r="A30" s="70"/>
      <c r="B30" s="71"/>
      <c r="C30" s="72"/>
      <c r="D30" s="72"/>
      <c r="E30" s="99"/>
      <c r="F30" s="100"/>
      <c r="G30" s="73"/>
      <c r="J30" s="69"/>
    </row>
    <row r="31" spans="1:10" ht="17" thickBot="1" x14ac:dyDescent="0.2">
      <c r="C31" s="27">
        <f>SUM(C19:C30)</f>
        <v>9991.5</v>
      </c>
      <c r="D31" s="45"/>
    </row>
    <row r="32" spans="1:10" ht="17" thickBot="1" x14ac:dyDescent="0.2"/>
    <row r="33" spans="1:6" ht="21" thickBot="1" x14ac:dyDescent="0.2">
      <c r="A33" s="101" t="s">
        <v>18</v>
      </c>
      <c r="B33" s="102"/>
      <c r="C33" s="43">
        <f>C14-C31</f>
        <v>1175</v>
      </c>
      <c r="D33" s="46"/>
      <c r="F33" s="46"/>
    </row>
  </sheetData>
  <sortState xmlns:xlrd2="http://schemas.microsoft.com/office/spreadsheetml/2017/richdata2" ref="A19:C31">
    <sortCondition ref="A19:A31"/>
  </sortState>
  <mergeCells count="2">
    <mergeCell ref="A33:B33"/>
    <mergeCell ref="A17:G17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DA53-7226-A44F-98EE-47DFECFF4D47}">
  <sheetPr>
    <pageSetUpPr fitToPage="1"/>
  </sheetPr>
  <dimension ref="A1:D10"/>
  <sheetViews>
    <sheetView zoomScale="120" zoomScaleNormal="120" workbookViewId="0">
      <selection activeCell="B4" sqref="B4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3" width="12.5" customWidth="1"/>
    <col min="4" max="4" width="10.83203125" customWidth="1"/>
  </cols>
  <sheetData>
    <row r="1" spans="1:4" s="6" customFormat="1" ht="16" customHeight="1" thickBot="1" x14ac:dyDescent="0.2">
      <c r="A1" s="21" t="s">
        <v>1</v>
      </c>
      <c r="B1" s="30"/>
    </row>
    <row r="2" spans="1:4" thickBot="1" x14ac:dyDescent="0.2">
      <c r="A2" s="22" t="s">
        <v>0</v>
      </c>
      <c r="B2" s="31"/>
    </row>
    <row r="3" spans="1:4" ht="16" customHeight="1" thickBot="1" x14ac:dyDescent="0.2">
      <c r="A3" s="24" t="s">
        <v>6</v>
      </c>
      <c r="B3" s="36">
        <v>0</v>
      </c>
    </row>
    <row r="4" spans="1:4" ht="16" customHeight="1" thickBot="1" x14ac:dyDescent="0.2">
      <c r="A4" s="12" t="s">
        <v>5</v>
      </c>
      <c r="B4" s="39">
        <f>B3</f>
        <v>0</v>
      </c>
    </row>
    <row r="5" spans="1:4" ht="16" customHeight="1" thickBot="1" x14ac:dyDescent="0.2">
      <c r="B5" s="40"/>
    </row>
    <row r="6" spans="1:4" ht="18" thickBot="1" x14ac:dyDescent="0.2">
      <c r="A6" s="13" t="s">
        <v>4</v>
      </c>
      <c r="B6" s="37">
        <f>SUM(B4:B4)</f>
        <v>0</v>
      </c>
      <c r="C6" s="8"/>
      <c r="D6" s="1"/>
    </row>
    <row r="7" spans="1:4" ht="18" thickBot="1" x14ac:dyDescent="0.2">
      <c r="A7" s="15" t="s">
        <v>2</v>
      </c>
      <c r="B7" s="38">
        <v>35</v>
      </c>
      <c r="C7" s="1"/>
      <c r="D7" s="1"/>
    </row>
    <row r="8" spans="1:4" ht="18" thickBot="1" x14ac:dyDescent="0.2">
      <c r="A8" s="26" t="s">
        <v>12</v>
      </c>
      <c r="B8" s="16">
        <v>1000</v>
      </c>
      <c r="C8" s="1"/>
      <c r="D8" s="1"/>
    </row>
    <row r="9" spans="1:4" ht="18" thickBot="1" x14ac:dyDescent="0.2">
      <c r="A9" s="3" t="s">
        <v>3</v>
      </c>
      <c r="B9" s="7">
        <f>(B6*B7)+B8</f>
        <v>1000</v>
      </c>
      <c r="C9" s="1"/>
      <c r="D9" s="1"/>
    </row>
    <row r="10" spans="1:4" ht="16" customHeight="1" x14ac:dyDescent="0.15">
      <c r="A10" s="2"/>
      <c r="B10" s="2"/>
      <c r="C10" s="2"/>
    </row>
  </sheetData>
  <conditionalFormatting sqref="B7:B9">
    <cfRule type="cellIs" dxfId="11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638B-4B6B-0F41-B277-F0DEAC0F70CD}">
  <sheetPr>
    <pageSetUpPr fitToPage="1"/>
  </sheetPr>
  <dimension ref="A1:F11"/>
  <sheetViews>
    <sheetView zoomScale="120" zoomScaleNormal="120" workbookViewId="0">
      <selection activeCell="F4" sqref="F4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6" width="12.5" customWidth="1"/>
  </cols>
  <sheetData>
    <row r="1" spans="1:6" s="6" customFormat="1" ht="16" customHeight="1" thickBot="1" x14ac:dyDescent="0.2">
      <c r="A1" s="21" t="s">
        <v>1</v>
      </c>
      <c r="B1" s="28">
        <v>46175</v>
      </c>
      <c r="C1" s="28">
        <v>46182</v>
      </c>
      <c r="D1" s="28">
        <v>46189</v>
      </c>
      <c r="E1" s="30">
        <v>46196</v>
      </c>
      <c r="F1" s="30">
        <v>46196</v>
      </c>
    </row>
    <row r="2" spans="1:6" ht="33" thickBot="1" x14ac:dyDescent="0.2">
      <c r="A2" s="22" t="s">
        <v>0</v>
      </c>
      <c r="B2" s="29" t="s">
        <v>10</v>
      </c>
      <c r="C2" s="29" t="s">
        <v>10</v>
      </c>
      <c r="D2" s="29" t="s">
        <v>10</v>
      </c>
      <c r="E2" s="25" t="s">
        <v>10</v>
      </c>
      <c r="F2" s="25" t="s">
        <v>10</v>
      </c>
    </row>
    <row r="3" spans="1:6" ht="16" customHeight="1" thickBot="1" x14ac:dyDescent="0.2">
      <c r="A3" s="24" t="s">
        <v>6</v>
      </c>
      <c r="B3" s="19">
        <v>1.5</v>
      </c>
      <c r="C3" s="19">
        <v>1.5</v>
      </c>
      <c r="D3" s="19">
        <v>1.5</v>
      </c>
      <c r="E3" s="11">
        <v>1.5</v>
      </c>
      <c r="F3" s="11">
        <v>1.5</v>
      </c>
    </row>
    <row r="4" spans="1:6" ht="16" customHeight="1" thickBot="1" x14ac:dyDescent="0.2">
      <c r="A4" s="12" t="s">
        <v>5</v>
      </c>
      <c r="B4" s="19">
        <f>B3</f>
        <v>1.5</v>
      </c>
      <c r="C4" s="19">
        <f>C3</f>
        <v>1.5</v>
      </c>
      <c r="D4" s="19">
        <f>D3</f>
        <v>1.5</v>
      </c>
      <c r="E4" s="11">
        <f>E3</f>
        <v>1.5</v>
      </c>
      <c r="F4" s="11">
        <f>F3</f>
        <v>1.5</v>
      </c>
    </row>
    <row r="5" spans="1:6" ht="16" customHeight="1" thickBot="1" x14ac:dyDescent="0.2">
      <c r="A5" s="17" t="s">
        <v>7</v>
      </c>
      <c r="B5" s="20">
        <v>1</v>
      </c>
      <c r="C5" s="33">
        <v>2</v>
      </c>
      <c r="D5" s="33">
        <v>3</v>
      </c>
      <c r="E5" s="18">
        <v>4</v>
      </c>
      <c r="F5" s="18">
        <v>5</v>
      </c>
    </row>
    <row r="6" spans="1:6" ht="16" customHeight="1" thickBot="1" x14ac:dyDescent="0.2"/>
    <row r="7" spans="1:6" ht="18" thickBot="1" x14ac:dyDescent="0.2">
      <c r="A7" s="13" t="s">
        <v>4</v>
      </c>
      <c r="B7" s="14">
        <f>SUM(B4:F4)</f>
        <v>7.5</v>
      </c>
      <c r="C7" s="8"/>
      <c r="D7" s="9"/>
      <c r="E7" s="8"/>
      <c r="F7" s="8"/>
    </row>
    <row r="8" spans="1:6" ht="18" thickBot="1" x14ac:dyDescent="0.2">
      <c r="A8" s="15" t="s">
        <v>2</v>
      </c>
      <c r="B8" s="16">
        <v>35</v>
      </c>
      <c r="C8" s="1"/>
      <c r="D8" s="1"/>
      <c r="E8" s="1"/>
      <c r="F8" s="1"/>
    </row>
    <row r="9" spans="1:6" ht="18" thickBot="1" x14ac:dyDescent="0.2">
      <c r="A9" s="26" t="s">
        <v>12</v>
      </c>
      <c r="B9" s="16">
        <v>1000</v>
      </c>
      <c r="C9" s="1"/>
      <c r="D9" s="1"/>
      <c r="E9" s="1"/>
      <c r="F9" s="1"/>
    </row>
    <row r="10" spans="1:6" ht="18" thickBot="1" x14ac:dyDescent="0.2">
      <c r="A10" s="3" t="s">
        <v>3</v>
      </c>
      <c r="B10" s="7">
        <f>(B7*B8)+B9+B11</f>
        <v>1262.5</v>
      </c>
      <c r="C10" s="1"/>
    </row>
    <row r="11" spans="1:6" ht="16" customHeight="1" x14ac:dyDescent="0.15">
      <c r="A11" s="2"/>
      <c r="B11" s="2"/>
      <c r="C11" s="2"/>
    </row>
  </sheetData>
  <conditionalFormatting sqref="B8:B10">
    <cfRule type="cellIs" dxfId="10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C9AC-A2D5-CA45-890C-023C32D824FF}">
  <sheetPr>
    <pageSetUpPr fitToPage="1"/>
  </sheetPr>
  <dimension ref="A1:J11"/>
  <sheetViews>
    <sheetView zoomScale="120" zoomScaleNormal="120" workbookViewId="0">
      <selection activeCell="D14" sqref="D14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7" width="12.5" customWidth="1"/>
    <col min="8" max="8" width="10.83203125" customWidth="1"/>
  </cols>
  <sheetData>
    <row r="1" spans="1:10" s="6" customFormat="1" ht="16" customHeight="1" thickBot="1" x14ac:dyDescent="0.2">
      <c r="A1" s="21" t="s">
        <v>1</v>
      </c>
      <c r="B1" s="30">
        <v>46144</v>
      </c>
      <c r="C1" s="28">
        <v>46147</v>
      </c>
      <c r="D1" s="4">
        <v>46151</v>
      </c>
      <c r="E1" s="28">
        <v>46154</v>
      </c>
      <c r="F1" s="4">
        <v>46158</v>
      </c>
      <c r="G1" s="28">
        <v>46161</v>
      </c>
      <c r="H1" s="4">
        <v>46165</v>
      </c>
      <c r="I1" s="30">
        <v>46168</v>
      </c>
      <c r="J1" s="4">
        <v>46165</v>
      </c>
    </row>
    <row r="2" spans="1:10" ht="33" thickBot="1" x14ac:dyDescent="0.2">
      <c r="A2" s="22" t="s">
        <v>0</v>
      </c>
      <c r="B2" s="31" t="s">
        <v>11</v>
      </c>
      <c r="C2" s="29" t="s">
        <v>10</v>
      </c>
      <c r="D2" s="25" t="s">
        <v>11</v>
      </c>
      <c r="E2" s="29" t="s">
        <v>10</v>
      </c>
      <c r="F2" s="25" t="s">
        <v>11</v>
      </c>
      <c r="G2" s="29" t="s">
        <v>10</v>
      </c>
      <c r="H2" s="25" t="s">
        <v>11</v>
      </c>
      <c r="I2" s="25" t="s">
        <v>10</v>
      </c>
      <c r="J2" s="25" t="s">
        <v>11</v>
      </c>
    </row>
    <row r="3" spans="1:10" ht="16" customHeight="1" thickBot="1" x14ac:dyDescent="0.2">
      <c r="A3" s="24" t="s">
        <v>6</v>
      </c>
      <c r="B3" s="32">
        <v>2</v>
      </c>
      <c r="C3" s="19">
        <v>1.5</v>
      </c>
      <c r="D3" s="11">
        <v>2</v>
      </c>
      <c r="E3" s="19">
        <v>1.5</v>
      </c>
      <c r="F3" s="11">
        <v>2</v>
      </c>
      <c r="G3" s="19">
        <v>1.5</v>
      </c>
      <c r="H3" s="11">
        <v>2</v>
      </c>
      <c r="I3" s="11">
        <v>1.5</v>
      </c>
      <c r="J3" s="11">
        <v>2</v>
      </c>
    </row>
    <row r="4" spans="1:10" ht="16" customHeight="1" thickBot="1" x14ac:dyDescent="0.2">
      <c r="A4" s="12" t="s">
        <v>5</v>
      </c>
      <c r="B4" s="19">
        <f>B3</f>
        <v>2</v>
      </c>
      <c r="C4" s="106">
        <f>C3+D3</f>
        <v>3.5</v>
      </c>
      <c r="D4" s="107"/>
      <c r="E4" s="106">
        <f>E3+F3</f>
        <v>3.5</v>
      </c>
      <c r="F4" s="107"/>
      <c r="G4" s="106">
        <f>G3+H3</f>
        <v>3.5</v>
      </c>
      <c r="H4" s="107"/>
      <c r="I4" s="106">
        <f>I3+J3</f>
        <v>3.5</v>
      </c>
      <c r="J4" s="107"/>
    </row>
    <row r="5" spans="1:10" ht="16" customHeight="1" thickBot="1" x14ac:dyDescent="0.2">
      <c r="A5" s="17" t="s">
        <v>7</v>
      </c>
      <c r="B5" s="20">
        <v>1</v>
      </c>
      <c r="C5" s="110">
        <v>2</v>
      </c>
      <c r="D5" s="111"/>
      <c r="E5" s="108">
        <v>3</v>
      </c>
      <c r="F5" s="109"/>
      <c r="G5" s="108">
        <v>4</v>
      </c>
      <c r="H5" s="109"/>
      <c r="I5" s="108">
        <v>5</v>
      </c>
      <c r="J5" s="109"/>
    </row>
    <row r="6" spans="1:10" ht="16" customHeight="1" thickBot="1" x14ac:dyDescent="0.2"/>
    <row r="7" spans="1:10" ht="18" thickBot="1" x14ac:dyDescent="0.2">
      <c r="A7" s="13" t="s">
        <v>4</v>
      </c>
      <c r="B7" s="14">
        <f>SUM(B4:I4)</f>
        <v>16</v>
      </c>
      <c r="C7" s="8"/>
      <c r="D7" s="8"/>
      <c r="E7" s="9"/>
      <c r="F7" s="9"/>
      <c r="G7" s="8"/>
      <c r="H7" s="1"/>
      <c r="J7" s="1"/>
    </row>
    <row r="8" spans="1:10" ht="18" thickBot="1" x14ac:dyDescent="0.2">
      <c r="A8" s="15" t="s">
        <v>2</v>
      </c>
      <c r="B8" s="16">
        <v>35</v>
      </c>
      <c r="C8" s="1"/>
      <c r="D8" s="1"/>
      <c r="E8" s="1"/>
      <c r="F8" s="1"/>
      <c r="G8" s="1"/>
      <c r="H8" s="1"/>
      <c r="J8" s="1"/>
    </row>
    <row r="9" spans="1:10" ht="18" thickBot="1" x14ac:dyDescent="0.2">
      <c r="A9" s="26" t="s">
        <v>12</v>
      </c>
      <c r="B9" s="16">
        <v>1000</v>
      </c>
      <c r="C9" s="1"/>
      <c r="D9" s="1"/>
      <c r="E9" s="1"/>
      <c r="F9" s="1"/>
      <c r="G9" s="1"/>
      <c r="H9" s="1"/>
      <c r="J9" s="1"/>
    </row>
    <row r="10" spans="1:10" ht="18" thickBot="1" x14ac:dyDescent="0.2">
      <c r="A10" s="3" t="s">
        <v>3</v>
      </c>
      <c r="B10" s="7">
        <f>(B7*B8)+B9+B11</f>
        <v>1560</v>
      </c>
      <c r="C10" s="1"/>
      <c r="D10" s="1"/>
      <c r="H10" s="1"/>
      <c r="J10" s="1"/>
    </row>
    <row r="11" spans="1:10" ht="16" customHeight="1" x14ac:dyDescent="0.15">
      <c r="A11" s="2"/>
      <c r="B11" s="2"/>
      <c r="C11" s="2"/>
      <c r="D11" s="2"/>
    </row>
  </sheetData>
  <mergeCells count="8">
    <mergeCell ref="I4:J4"/>
    <mergeCell ref="I5:J5"/>
    <mergeCell ref="C4:D4"/>
    <mergeCell ref="E4:F4"/>
    <mergeCell ref="G4:H4"/>
    <mergeCell ref="C5:D5"/>
    <mergeCell ref="E5:F5"/>
    <mergeCell ref="G5:H5"/>
  </mergeCells>
  <conditionalFormatting sqref="B8:B10">
    <cfRule type="cellIs" dxfId="9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4BF4-0BA7-6E48-AE3E-E0EFE9B4970F}">
  <sheetPr>
    <pageSetUpPr fitToPage="1"/>
  </sheetPr>
  <dimension ref="A1:H11"/>
  <sheetViews>
    <sheetView tabSelected="1" zoomScale="120" zoomScaleNormal="120" workbookViewId="0">
      <selection activeCell="C19" sqref="C19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7" width="12.5" customWidth="1"/>
    <col min="8" max="8" width="10.83203125" customWidth="1"/>
  </cols>
  <sheetData>
    <row r="1" spans="1:8" s="6" customFormat="1" ht="16" customHeight="1" thickBot="1" x14ac:dyDescent="0.2">
      <c r="A1" s="21" t="s">
        <v>1</v>
      </c>
      <c r="B1" s="28">
        <v>46133</v>
      </c>
      <c r="C1" s="4">
        <v>46137</v>
      </c>
      <c r="D1" s="30">
        <v>46140</v>
      </c>
    </row>
    <row r="2" spans="1:8" ht="33" thickBot="1" x14ac:dyDescent="0.2">
      <c r="A2" s="22" t="s">
        <v>0</v>
      </c>
      <c r="B2" s="29" t="s">
        <v>10</v>
      </c>
      <c r="C2" s="25" t="s">
        <v>11</v>
      </c>
      <c r="D2" s="25" t="s">
        <v>10</v>
      </c>
    </row>
    <row r="3" spans="1:8" ht="16" customHeight="1" thickBot="1" x14ac:dyDescent="0.2">
      <c r="A3" s="24" t="s">
        <v>6</v>
      </c>
      <c r="B3" s="19">
        <v>1.5</v>
      </c>
      <c r="C3" s="11">
        <v>2</v>
      </c>
      <c r="D3" s="11">
        <v>1.5</v>
      </c>
    </row>
    <row r="4" spans="1:8" ht="16" customHeight="1" thickBot="1" x14ac:dyDescent="0.2">
      <c r="A4" s="12" t="s">
        <v>5</v>
      </c>
      <c r="B4" s="106">
        <f>B3+C3</f>
        <v>3.5</v>
      </c>
      <c r="C4" s="107"/>
      <c r="D4" s="11">
        <f>D3</f>
        <v>1.5</v>
      </c>
    </row>
    <row r="5" spans="1:8" ht="16" customHeight="1" thickBot="1" x14ac:dyDescent="0.2">
      <c r="A5" s="17" t="s">
        <v>7</v>
      </c>
      <c r="B5" s="108">
        <v>4</v>
      </c>
      <c r="C5" s="109"/>
      <c r="D5" s="18">
        <v>5</v>
      </c>
    </row>
    <row r="6" spans="1:8" ht="16" customHeight="1" thickBot="1" x14ac:dyDescent="0.2"/>
    <row r="7" spans="1:8" ht="18" thickBot="1" x14ac:dyDescent="0.2">
      <c r="A7" s="13" t="s">
        <v>4</v>
      </c>
      <c r="B7" s="14">
        <f>SUM(B4:D4)</f>
        <v>5</v>
      </c>
      <c r="C7" s="8"/>
      <c r="D7" s="8"/>
      <c r="E7" s="9"/>
      <c r="F7" s="9"/>
      <c r="G7" s="8"/>
      <c r="H7" s="1"/>
    </row>
    <row r="8" spans="1:8" ht="18" thickBot="1" x14ac:dyDescent="0.2">
      <c r="A8" s="15" t="s">
        <v>2</v>
      </c>
      <c r="B8" s="16">
        <v>35</v>
      </c>
      <c r="C8" s="1"/>
      <c r="D8" s="1"/>
      <c r="E8" s="1"/>
      <c r="F8" s="1"/>
      <c r="G8" s="1"/>
      <c r="H8" s="1"/>
    </row>
    <row r="9" spans="1:8" ht="18" thickBot="1" x14ac:dyDescent="0.2">
      <c r="A9" s="26" t="s">
        <v>12</v>
      </c>
      <c r="B9" s="16">
        <v>1000</v>
      </c>
      <c r="C9" s="1"/>
      <c r="D9" s="1"/>
      <c r="E9" s="1"/>
      <c r="F9" s="1"/>
      <c r="G9" s="1"/>
      <c r="H9" s="1"/>
    </row>
    <row r="10" spans="1:8" ht="18" thickBot="1" x14ac:dyDescent="0.2">
      <c r="A10" s="3" t="s">
        <v>3</v>
      </c>
      <c r="B10" s="7">
        <f>(B7*B8)+B9+B11</f>
        <v>1175</v>
      </c>
      <c r="C10" s="1"/>
      <c r="D10" s="1"/>
      <c r="H10" s="1"/>
    </row>
    <row r="11" spans="1:8" ht="16" customHeight="1" x14ac:dyDescent="0.15">
      <c r="A11" s="2"/>
      <c r="B11" s="2"/>
      <c r="C11" s="2"/>
      <c r="D11" s="2"/>
    </row>
  </sheetData>
  <mergeCells count="2">
    <mergeCell ref="B4:C4"/>
    <mergeCell ref="B5:C5"/>
  </mergeCells>
  <conditionalFormatting sqref="B8:B10">
    <cfRule type="cellIs" dxfId="8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E135-DB89-F141-A1FC-D2CCF5314260}">
  <sheetPr>
    <pageSetUpPr fitToPage="1"/>
  </sheetPr>
  <dimension ref="A1:I11"/>
  <sheetViews>
    <sheetView zoomScale="120" zoomScaleNormal="120" workbookViewId="0">
      <selection activeCell="I4" sqref="I4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7" width="12.5" customWidth="1"/>
    <col min="8" max="8" width="10.83203125" customWidth="1"/>
  </cols>
  <sheetData>
    <row r="1" spans="1:9" s="6" customFormat="1" ht="16" customHeight="1" thickBot="1" x14ac:dyDescent="0.2">
      <c r="A1" s="21" t="s">
        <v>1</v>
      </c>
      <c r="B1" s="30">
        <v>46088</v>
      </c>
      <c r="C1" s="28">
        <v>46091</v>
      </c>
      <c r="D1" s="4">
        <v>46095</v>
      </c>
      <c r="E1" s="28">
        <v>46098</v>
      </c>
      <c r="F1" s="4">
        <v>46102</v>
      </c>
      <c r="G1" s="28">
        <v>46105</v>
      </c>
      <c r="H1" s="4">
        <v>46109</v>
      </c>
      <c r="I1" s="30">
        <v>46112</v>
      </c>
    </row>
    <row r="2" spans="1:9" ht="33" thickBot="1" x14ac:dyDescent="0.2">
      <c r="A2" s="22" t="s">
        <v>0</v>
      </c>
      <c r="B2" s="31" t="s">
        <v>11</v>
      </c>
      <c r="C2" s="29" t="s">
        <v>10</v>
      </c>
      <c r="D2" s="25" t="s">
        <v>11</v>
      </c>
      <c r="E2" s="29" t="s">
        <v>10</v>
      </c>
      <c r="F2" s="25" t="s">
        <v>11</v>
      </c>
      <c r="G2" s="29" t="s">
        <v>10</v>
      </c>
      <c r="H2" s="25" t="s">
        <v>11</v>
      </c>
      <c r="I2" s="25" t="s">
        <v>10</v>
      </c>
    </row>
    <row r="3" spans="1:9" ht="16" customHeight="1" thickBot="1" x14ac:dyDescent="0.2">
      <c r="A3" s="24" t="s">
        <v>6</v>
      </c>
      <c r="B3" s="32">
        <v>2</v>
      </c>
      <c r="C3" s="19">
        <v>1.5</v>
      </c>
      <c r="D3" s="11">
        <v>2</v>
      </c>
      <c r="E3" s="19">
        <v>1.5</v>
      </c>
      <c r="F3" s="11">
        <v>2</v>
      </c>
      <c r="G3" s="19"/>
      <c r="H3" s="11">
        <v>2</v>
      </c>
      <c r="I3" s="11">
        <v>1.5</v>
      </c>
    </row>
    <row r="4" spans="1:9" ht="16" customHeight="1" thickBot="1" x14ac:dyDescent="0.2">
      <c r="A4" s="12" t="s">
        <v>5</v>
      </c>
      <c r="B4" s="19">
        <f>B3</f>
        <v>2</v>
      </c>
      <c r="C4" s="106">
        <f>C3+D3</f>
        <v>3.5</v>
      </c>
      <c r="D4" s="107"/>
      <c r="E4" s="106">
        <f>E3+F3</f>
        <v>3.5</v>
      </c>
      <c r="F4" s="107"/>
      <c r="G4" s="106">
        <f>G3+H3</f>
        <v>2</v>
      </c>
      <c r="H4" s="107"/>
      <c r="I4" s="11">
        <f>I3</f>
        <v>1.5</v>
      </c>
    </row>
    <row r="5" spans="1:9" ht="16" customHeight="1" thickBot="1" x14ac:dyDescent="0.2">
      <c r="A5" s="17" t="s">
        <v>7</v>
      </c>
      <c r="B5" s="20">
        <v>1</v>
      </c>
      <c r="C5" s="110">
        <v>2</v>
      </c>
      <c r="D5" s="111"/>
      <c r="E5" s="108">
        <v>3</v>
      </c>
      <c r="F5" s="109"/>
      <c r="G5" s="108">
        <v>4</v>
      </c>
      <c r="H5" s="109"/>
      <c r="I5" s="18">
        <v>5</v>
      </c>
    </row>
    <row r="6" spans="1:9" ht="16" customHeight="1" thickBot="1" x14ac:dyDescent="0.2"/>
    <row r="7" spans="1:9" ht="18" thickBot="1" x14ac:dyDescent="0.2">
      <c r="A7" s="13" t="s">
        <v>4</v>
      </c>
      <c r="B7" s="14">
        <f>SUM(B4:I4)</f>
        <v>12.5</v>
      </c>
      <c r="C7" s="8"/>
      <c r="D7" s="8"/>
      <c r="E7" s="9"/>
      <c r="F7" s="9"/>
      <c r="G7" s="8"/>
      <c r="H7" s="1"/>
    </row>
    <row r="8" spans="1:9" ht="18" thickBot="1" x14ac:dyDescent="0.2">
      <c r="A8" s="15" t="s">
        <v>2</v>
      </c>
      <c r="B8" s="16">
        <v>35</v>
      </c>
      <c r="C8" s="1"/>
      <c r="D8" s="1"/>
      <c r="E8" s="1"/>
      <c r="F8" s="1"/>
      <c r="G8" s="1"/>
      <c r="H8" s="1"/>
    </row>
    <row r="9" spans="1:9" ht="18" thickBot="1" x14ac:dyDescent="0.2">
      <c r="A9" s="26" t="s">
        <v>12</v>
      </c>
      <c r="B9" s="16">
        <v>1000</v>
      </c>
      <c r="C9" s="1"/>
      <c r="D9" s="1"/>
      <c r="E9" s="1"/>
      <c r="F9" s="1"/>
      <c r="G9" s="1"/>
      <c r="H9" s="1"/>
    </row>
    <row r="10" spans="1:9" ht="18" thickBot="1" x14ac:dyDescent="0.2">
      <c r="A10" s="3" t="s">
        <v>3</v>
      </c>
      <c r="B10" s="7">
        <f>(B7*B8)+B9+B11</f>
        <v>1437.5</v>
      </c>
      <c r="C10" s="1"/>
      <c r="D10" s="1"/>
      <c r="H10" s="1"/>
    </row>
    <row r="11" spans="1:9" ht="16" customHeight="1" x14ac:dyDescent="0.15">
      <c r="A11" s="2"/>
      <c r="B11" s="2"/>
      <c r="C11" s="2"/>
      <c r="D11" s="2"/>
    </row>
  </sheetData>
  <mergeCells count="6">
    <mergeCell ref="C4:D4"/>
    <mergeCell ref="E4:F4"/>
    <mergeCell ref="C5:D5"/>
    <mergeCell ref="E5:F5"/>
    <mergeCell ref="G4:H4"/>
    <mergeCell ref="G5:H5"/>
  </mergeCells>
  <conditionalFormatting sqref="B8:B10">
    <cfRule type="cellIs" dxfId="7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8288-B321-C34C-BD5D-8B6612C6D47C}">
  <sheetPr>
    <pageSetUpPr fitToPage="1"/>
  </sheetPr>
  <dimension ref="A1:B11"/>
  <sheetViews>
    <sheetView zoomScale="120" zoomScaleNormal="120" workbookViewId="0">
      <selection activeCell="B5" sqref="A1:B5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</cols>
  <sheetData>
    <row r="1" spans="1:2" s="6" customFormat="1" ht="16" customHeight="1" thickBot="1" x14ac:dyDescent="0.2">
      <c r="A1" s="21" t="s">
        <v>1</v>
      </c>
      <c r="B1" s="4">
        <v>45965</v>
      </c>
    </row>
    <row r="2" spans="1:2" ht="33" thickBot="1" x14ac:dyDescent="0.2">
      <c r="A2" s="22" t="s">
        <v>0</v>
      </c>
      <c r="B2" s="25" t="s">
        <v>10</v>
      </c>
    </row>
    <row r="3" spans="1:2" ht="16" customHeight="1" thickBot="1" x14ac:dyDescent="0.2">
      <c r="A3" s="24" t="s">
        <v>6</v>
      </c>
      <c r="B3" s="11">
        <v>1.5</v>
      </c>
    </row>
    <row r="4" spans="1:2" ht="16" customHeight="1" thickBot="1" x14ac:dyDescent="0.2">
      <c r="A4" s="12" t="s">
        <v>5</v>
      </c>
      <c r="B4" s="11">
        <f>B3</f>
        <v>1.5</v>
      </c>
    </row>
    <row r="5" spans="1:2" ht="16" customHeight="1" thickBot="1" x14ac:dyDescent="0.2">
      <c r="A5" s="17" t="s">
        <v>7</v>
      </c>
      <c r="B5" s="18">
        <v>1</v>
      </c>
    </row>
    <row r="6" spans="1:2" ht="16" customHeight="1" thickBot="1" x14ac:dyDescent="0.2"/>
    <row r="7" spans="1:2" ht="18" thickBot="1" x14ac:dyDescent="0.2">
      <c r="A7" s="13" t="s">
        <v>4</v>
      </c>
      <c r="B7" s="14">
        <f>SUM(B4:B4)</f>
        <v>1.5</v>
      </c>
    </row>
    <row r="8" spans="1:2" ht="18" thickBot="1" x14ac:dyDescent="0.2">
      <c r="A8" s="15" t="s">
        <v>2</v>
      </c>
      <c r="B8" s="16">
        <v>35</v>
      </c>
    </row>
    <row r="9" spans="1:2" ht="18" thickBot="1" x14ac:dyDescent="0.2">
      <c r="A9" s="26" t="s">
        <v>12</v>
      </c>
      <c r="B9" s="16">
        <v>1000</v>
      </c>
    </row>
    <row r="10" spans="1:2" ht="18" thickBot="1" x14ac:dyDescent="0.2">
      <c r="A10" s="3" t="s">
        <v>3</v>
      </c>
      <c r="B10" s="7">
        <f>(B7*B8)+B9+B11</f>
        <v>1052.5</v>
      </c>
    </row>
    <row r="11" spans="1:2" ht="16" customHeight="1" x14ac:dyDescent="0.15">
      <c r="A11" s="2"/>
      <c r="B11" s="2"/>
    </row>
  </sheetData>
  <conditionalFormatting sqref="B8:B10">
    <cfRule type="cellIs" dxfId="6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CB74-9BFB-FF4F-8197-AA23884563E9}">
  <sheetPr>
    <pageSetUpPr fitToPage="1"/>
  </sheetPr>
  <dimension ref="A1:D10"/>
  <sheetViews>
    <sheetView zoomScale="120" zoomScaleNormal="120" workbookViewId="0">
      <selection activeCell="B4" sqref="B4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3" width="12.5" customWidth="1"/>
    <col min="4" max="4" width="10.83203125" customWidth="1"/>
  </cols>
  <sheetData>
    <row r="1" spans="1:4" s="6" customFormat="1" ht="16" customHeight="1" thickBot="1" x14ac:dyDescent="0.2">
      <c r="A1" s="21" t="s">
        <v>1</v>
      </c>
      <c r="B1" s="30"/>
    </row>
    <row r="2" spans="1:4" thickBot="1" x14ac:dyDescent="0.2">
      <c r="A2" s="22" t="s">
        <v>0</v>
      </c>
      <c r="B2" s="31"/>
    </row>
    <row r="3" spans="1:4" ht="16" customHeight="1" thickBot="1" x14ac:dyDescent="0.2">
      <c r="A3" s="24" t="s">
        <v>6</v>
      </c>
      <c r="B3" s="36">
        <v>0</v>
      </c>
    </row>
    <row r="4" spans="1:4" ht="16" customHeight="1" thickBot="1" x14ac:dyDescent="0.2">
      <c r="A4" s="12" t="s">
        <v>5</v>
      </c>
      <c r="B4" s="39">
        <f>B3</f>
        <v>0</v>
      </c>
    </row>
    <row r="5" spans="1:4" ht="16" customHeight="1" thickBot="1" x14ac:dyDescent="0.2">
      <c r="B5" s="40"/>
    </row>
    <row r="6" spans="1:4" ht="18" thickBot="1" x14ac:dyDescent="0.2">
      <c r="A6" s="13" t="s">
        <v>4</v>
      </c>
      <c r="B6" s="37">
        <f>SUM(B4:B4)</f>
        <v>0</v>
      </c>
      <c r="C6" s="8"/>
      <c r="D6" s="1"/>
    </row>
    <row r="7" spans="1:4" ht="18" thickBot="1" x14ac:dyDescent="0.2">
      <c r="A7" s="15" t="s">
        <v>2</v>
      </c>
      <c r="B7" s="38">
        <v>35</v>
      </c>
      <c r="C7" s="1"/>
      <c r="D7" s="1"/>
    </row>
    <row r="8" spans="1:4" ht="18" thickBot="1" x14ac:dyDescent="0.2">
      <c r="A8" s="26" t="s">
        <v>12</v>
      </c>
      <c r="B8" s="16">
        <v>1000</v>
      </c>
      <c r="C8" s="1"/>
      <c r="D8" s="1"/>
    </row>
    <row r="9" spans="1:4" ht="18" thickBot="1" x14ac:dyDescent="0.2">
      <c r="A9" s="3" t="s">
        <v>3</v>
      </c>
      <c r="B9" s="7">
        <f>(B6*B7)+B8</f>
        <v>1000</v>
      </c>
      <c r="C9" s="1"/>
      <c r="D9" s="1"/>
    </row>
    <row r="10" spans="1:4" ht="16" customHeight="1" x14ac:dyDescent="0.15">
      <c r="A10" s="2"/>
      <c r="B10" s="2"/>
      <c r="C10" s="2"/>
    </row>
  </sheetData>
  <conditionalFormatting sqref="B7:B9">
    <cfRule type="cellIs" dxfId="5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4691-D856-264B-AD0B-674F8D0FD44A}">
  <sheetPr>
    <pageSetUpPr fitToPage="1"/>
  </sheetPr>
  <dimension ref="A1:D10"/>
  <sheetViews>
    <sheetView zoomScale="120" zoomScaleNormal="120" workbookViewId="0">
      <selection activeCell="I24" sqref="I24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3" width="12.5" customWidth="1"/>
    <col min="4" max="4" width="10.83203125" customWidth="1"/>
  </cols>
  <sheetData>
    <row r="1" spans="1:4" s="6" customFormat="1" ht="16" customHeight="1" thickBot="1" x14ac:dyDescent="0.2">
      <c r="A1" s="21" t="s">
        <v>1</v>
      </c>
      <c r="B1" s="30">
        <v>45996</v>
      </c>
    </row>
    <row r="2" spans="1:4" ht="17" thickBot="1" x14ac:dyDescent="0.2">
      <c r="A2" s="22" t="s">
        <v>0</v>
      </c>
      <c r="B2" s="31" t="s">
        <v>16</v>
      </c>
    </row>
    <row r="3" spans="1:4" ht="16" customHeight="1" thickBot="1" x14ac:dyDescent="0.2">
      <c r="A3" s="24" t="s">
        <v>6</v>
      </c>
      <c r="B3" s="36">
        <v>2</v>
      </c>
    </row>
    <row r="4" spans="1:4" ht="16" customHeight="1" thickBot="1" x14ac:dyDescent="0.2">
      <c r="A4" s="12" t="s">
        <v>5</v>
      </c>
      <c r="B4" s="39">
        <f>B3</f>
        <v>2</v>
      </c>
    </row>
    <row r="5" spans="1:4" ht="16" customHeight="1" thickBot="1" x14ac:dyDescent="0.2">
      <c r="B5" s="40"/>
    </row>
    <row r="6" spans="1:4" ht="18" thickBot="1" x14ac:dyDescent="0.2">
      <c r="A6" s="13" t="s">
        <v>4</v>
      </c>
      <c r="B6" s="37">
        <f>SUM(B4:B4)</f>
        <v>2</v>
      </c>
      <c r="C6" s="8"/>
      <c r="D6" s="1"/>
    </row>
    <row r="7" spans="1:4" ht="18" thickBot="1" x14ac:dyDescent="0.2">
      <c r="A7" s="15" t="s">
        <v>2</v>
      </c>
      <c r="B7" s="38">
        <v>35</v>
      </c>
      <c r="C7" s="1"/>
      <c r="D7" s="1"/>
    </row>
    <row r="8" spans="1:4" ht="18" thickBot="1" x14ac:dyDescent="0.2">
      <c r="A8" s="26" t="s">
        <v>12</v>
      </c>
      <c r="B8" s="16">
        <v>1000</v>
      </c>
      <c r="C8" s="1"/>
      <c r="D8" s="1"/>
    </row>
    <row r="9" spans="1:4" ht="18" thickBot="1" x14ac:dyDescent="0.2">
      <c r="A9" s="3" t="s">
        <v>3</v>
      </c>
      <c r="B9" s="7">
        <f>(B6*B7)+B8</f>
        <v>1070</v>
      </c>
      <c r="C9" s="1"/>
      <c r="D9" s="1"/>
    </row>
    <row r="10" spans="1:4" ht="16" customHeight="1" x14ac:dyDescent="0.15">
      <c r="A10" s="2"/>
      <c r="B10" s="2"/>
      <c r="C10" s="2"/>
    </row>
  </sheetData>
  <conditionalFormatting sqref="B7:B9">
    <cfRule type="cellIs" dxfId="4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06A9-C52B-5344-9F09-C55BBA6DBFAE}">
  <sheetPr>
    <pageSetUpPr fitToPage="1"/>
  </sheetPr>
  <dimension ref="A1:I11"/>
  <sheetViews>
    <sheetView zoomScale="120" zoomScaleNormal="120" workbookViewId="0">
      <selection activeCell="B11" sqref="B11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8" width="12.5" customWidth="1"/>
    <col min="9" max="9" width="10.83203125" customWidth="1"/>
  </cols>
  <sheetData>
    <row r="1" spans="1:9" s="6" customFormat="1" ht="16" customHeight="1" thickBot="1" x14ac:dyDescent="0.2">
      <c r="A1" s="21" t="s">
        <v>1</v>
      </c>
      <c r="B1" s="28">
        <v>45965</v>
      </c>
      <c r="C1" s="30">
        <v>45969</v>
      </c>
      <c r="D1" s="28">
        <v>45972</v>
      </c>
      <c r="E1" s="4">
        <v>45976</v>
      </c>
      <c r="F1" s="28">
        <v>45979</v>
      </c>
      <c r="G1" s="28">
        <v>45987</v>
      </c>
      <c r="H1" s="4">
        <v>45989</v>
      </c>
    </row>
    <row r="2" spans="1:9" ht="49" thickBot="1" x14ac:dyDescent="0.2">
      <c r="A2" s="22" t="s">
        <v>0</v>
      </c>
      <c r="B2" s="29" t="s">
        <v>10</v>
      </c>
      <c r="C2" s="31" t="s">
        <v>11</v>
      </c>
      <c r="D2" s="29" t="s">
        <v>10</v>
      </c>
      <c r="E2" s="25" t="s">
        <v>11</v>
      </c>
      <c r="F2" s="29" t="s">
        <v>10</v>
      </c>
      <c r="G2" s="29" t="s">
        <v>15</v>
      </c>
      <c r="H2" s="25" t="s">
        <v>15</v>
      </c>
    </row>
    <row r="3" spans="1:9" ht="16" customHeight="1" thickBot="1" x14ac:dyDescent="0.2">
      <c r="A3" s="24" t="s">
        <v>6</v>
      </c>
      <c r="B3" s="19">
        <v>1.5</v>
      </c>
      <c r="C3" s="32">
        <v>2</v>
      </c>
      <c r="D3" s="19">
        <v>1.5</v>
      </c>
      <c r="E3" s="11">
        <v>2</v>
      </c>
      <c r="F3" s="19">
        <v>1.5</v>
      </c>
      <c r="G3" s="19">
        <v>2</v>
      </c>
      <c r="H3" s="32">
        <v>4</v>
      </c>
    </row>
    <row r="4" spans="1:9" ht="16" customHeight="1" thickBot="1" x14ac:dyDescent="0.2">
      <c r="A4" s="12" t="s">
        <v>5</v>
      </c>
      <c r="B4" s="106">
        <f>C3+B3</f>
        <v>3.5</v>
      </c>
      <c r="C4" s="107"/>
      <c r="D4" s="106">
        <f>D3+E3</f>
        <v>3.5</v>
      </c>
      <c r="E4" s="107"/>
      <c r="F4" s="19">
        <f>F3</f>
        <v>1.5</v>
      </c>
      <c r="G4" s="106">
        <f>G3+H3</f>
        <v>6</v>
      </c>
      <c r="H4" s="107"/>
    </row>
    <row r="5" spans="1:9" ht="16" customHeight="1" thickBot="1" x14ac:dyDescent="0.2">
      <c r="A5" s="17" t="s">
        <v>7</v>
      </c>
      <c r="B5" s="110">
        <v>1</v>
      </c>
      <c r="C5" s="111"/>
      <c r="D5" s="110">
        <v>2</v>
      </c>
      <c r="E5" s="111"/>
      <c r="F5" s="33">
        <v>3</v>
      </c>
      <c r="G5" s="108">
        <v>4</v>
      </c>
      <c r="H5" s="109"/>
    </row>
    <row r="6" spans="1:9" ht="16" customHeight="1" thickBot="1" x14ac:dyDescent="0.2"/>
    <row r="7" spans="1:9" ht="18" thickBot="1" x14ac:dyDescent="0.2">
      <c r="A7" s="13" t="s">
        <v>4</v>
      </c>
      <c r="B7" s="14">
        <f>SUM(B4:H4)</f>
        <v>14.5</v>
      </c>
      <c r="C7" s="8"/>
      <c r="D7" s="8"/>
      <c r="E7" s="8"/>
      <c r="F7" s="9"/>
      <c r="G7" s="9"/>
      <c r="H7" s="8"/>
      <c r="I7" s="1"/>
    </row>
    <row r="8" spans="1:9" ht="18" thickBot="1" x14ac:dyDescent="0.2">
      <c r="A8" s="15" t="s">
        <v>2</v>
      </c>
      <c r="B8" s="16">
        <v>35</v>
      </c>
      <c r="C8" s="1"/>
      <c r="D8" s="1"/>
      <c r="E8" s="1"/>
      <c r="F8" s="1"/>
      <c r="G8" s="1"/>
      <c r="H8" s="1"/>
      <c r="I8" s="1"/>
    </row>
    <row r="9" spans="1:9" ht="18" thickBot="1" x14ac:dyDescent="0.2">
      <c r="A9" s="26" t="s">
        <v>12</v>
      </c>
      <c r="B9" s="16">
        <v>1000</v>
      </c>
      <c r="C9" s="1"/>
      <c r="D9" s="1"/>
      <c r="E9" s="1"/>
      <c r="F9" s="1"/>
      <c r="G9" s="1"/>
      <c r="H9" s="1"/>
      <c r="I9" s="1"/>
    </row>
    <row r="10" spans="1:9" ht="18" thickBot="1" x14ac:dyDescent="0.2">
      <c r="A10" s="3" t="s">
        <v>3</v>
      </c>
      <c r="B10" s="7">
        <f>(B7*B8)+B9+B11</f>
        <v>1521.5</v>
      </c>
      <c r="C10" s="1"/>
      <c r="D10" s="1"/>
      <c r="H10" s="1"/>
      <c r="I10" s="1"/>
    </row>
    <row r="11" spans="1:9" ht="16" customHeight="1" x14ac:dyDescent="0.15">
      <c r="A11" s="2" t="s">
        <v>17</v>
      </c>
      <c r="B11" s="2">
        <v>14</v>
      </c>
      <c r="C11" s="2"/>
      <c r="D11" s="2"/>
      <c r="H11" s="2"/>
    </row>
  </sheetData>
  <mergeCells count="6">
    <mergeCell ref="G4:H4"/>
    <mergeCell ref="G5:H5"/>
    <mergeCell ref="B4:C4"/>
    <mergeCell ref="B5:C5"/>
    <mergeCell ref="D5:E5"/>
    <mergeCell ref="D4:E4"/>
  </mergeCells>
  <conditionalFormatting sqref="B8:B10">
    <cfRule type="cellIs" dxfId="3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AFBB-65CB-2042-82CF-2CF86406C877}">
  <sheetPr>
    <pageSetUpPr fitToPage="1"/>
  </sheetPr>
  <dimension ref="A1:J11"/>
  <sheetViews>
    <sheetView zoomScale="120" zoomScaleNormal="120" workbookViewId="0">
      <selection activeCell="J16" sqref="J16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9" width="12.5" customWidth="1"/>
    <col min="10" max="10" width="10.83203125" customWidth="1"/>
  </cols>
  <sheetData>
    <row r="1" spans="1:10" s="6" customFormat="1" ht="16" customHeight="1" thickBot="1" x14ac:dyDescent="0.2">
      <c r="A1" s="21" t="s">
        <v>1</v>
      </c>
      <c r="B1" s="4">
        <v>45934</v>
      </c>
      <c r="C1" s="4">
        <v>45937</v>
      </c>
      <c r="D1" s="4">
        <v>45941</v>
      </c>
      <c r="E1" s="4">
        <v>45944</v>
      </c>
      <c r="F1" s="4">
        <v>45948</v>
      </c>
      <c r="G1" s="4">
        <v>45951</v>
      </c>
      <c r="H1" s="5"/>
    </row>
    <row r="2" spans="1:10" ht="33" thickBot="1" x14ac:dyDescent="0.2">
      <c r="A2" s="22" t="s">
        <v>0</v>
      </c>
      <c r="B2" s="25" t="s">
        <v>11</v>
      </c>
      <c r="C2" s="25" t="s">
        <v>10</v>
      </c>
      <c r="D2" s="25" t="s">
        <v>11</v>
      </c>
      <c r="E2" s="25" t="s">
        <v>10</v>
      </c>
      <c r="F2" s="25" t="s">
        <v>11</v>
      </c>
      <c r="G2" s="25" t="s">
        <v>10</v>
      </c>
      <c r="H2" s="1"/>
    </row>
    <row r="3" spans="1:10" ht="16" customHeight="1" thickBot="1" x14ac:dyDescent="0.2">
      <c r="A3" s="24" t="s">
        <v>6</v>
      </c>
      <c r="B3" s="11">
        <v>2</v>
      </c>
      <c r="C3" s="11">
        <v>1.5</v>
      </c>
      <c r="D3" s="11">
        <v>2</v>
      </c>
      <c r="E3" s="11">
        <v>1.5</v>
      </c>
      <c r="F3" s="11">
        <v>2</v>
      </c>
      <c r="G3" s="11">
        <v>1.5</v>
      </c>
      <c r="H3" s="1"/>
    </row>
    <row r="4" spans="1:10" ht="16" customHeight="1" thickBot="1" x14ac:dyDescent="0.2">
      <c r="A4" s="12" t="s">
        <v>5</v>
      </c>
      <c r="B4" s="19">
        <f>B3</f>
        <v>2</v>
      </c>
      <c r="C4" s="106">
        <f>D3+C3</f>
        <v>3.5</v>
      </c>
      <c r="D4" s="107"/>
      <c r="E4" s="106">
        <f>F3+E3</f>
        <v>3.5</v>
      </c>
      <c r="F4" s="107"/>
      <c r="G4" s="11">
        <f>G3</f>
        <v>1.5</v>
      </c>
      <c r="H4" s="1"/>
    </row>
    <row r="5" spans="1:10" ht="16" customHeight="1" thickBot="1" x14ac:dyDescent="0.2">
      <c r="A5" s="17" t="s">
        <v>7</v>
      </c>
      <c r="B5" s="20">
        <v>1</v>
      </c>
      <c r="C5" s="110">
        <v>2</v>
      </c>
      <c r="D5" s="111"/>
      <c r="E5" s="110">
        <v>3</v>
      </c>
      <c r="F5" s="111"/>
      <c r="G5" s="18">
        <v>4</v>
      </c>
    </row>
    <row r="6" spans="1:10" ht="16" customHeight="1" thickBot="1" x14ac:dyDescent="0.2"/>
    <row r="7" spans="1:10" ht="18" thickBot="1" x14ac:dyDescent="0.2">
      <c r="A7" s="13" t="s">
        <v>4</v>
      </c>
      <c r="B7" s="14">
        <f>SUM(B3:G3)</f>
        <v>10.5</v>
      </c>
      <c r="C7" s="8"/>
      <c r="D7" s="8"/>
      <c r="E7" s="8"/>
      <c r="F7" s="9"/>
      <c r="G7" s="10"/>
      <c r="H7" s="10"/>
      <c r="I7" s="10"/>
      <c r="J7" s="1"/>
    </row>
    <row r="8" spans="1:10" ht="18" thickBot="1" x14ac:dyDescent="0.2">
      <c r="A8" s="15" t="s">
        <v>2</v>
      </c>
      <c r="B8" s="16">
        <v>35</v>
      </c>
      <c r="C8" s="1"/>
      <c r="D8" s="1"/>
      <c r="E8" s="1"/>
      <c r="F8" s="1"/>
      <c r="G8" s="1"/>
      <c r="H8" s="1"/>
      <c r="I8" s="1"/>
      <c r="J8" s="1"/>
    </row>
    <row r="9" spans="1:10" ht="18" thickBot="1" x14ac:dyDescent="0.2">
      <c r="A9" s="26" t="s">
        <v>12</v>
      </c>
      <c r="B9" s="16">
        <v>1000</v>
      </c>
      <c r="C9" s="1"/>
      <c r="D9" s="1"/>
      <c r="E9" s="1"/>
      <c r="F9" s="1"/>
      <c r="G9" s="1"/>
      <c r="H9" s="1"/>
      <c r="I9" s="1"/>
      <c r="J9" s="1"/>
    </row>
    <row r="10" spans="1:10" ht="18" thickBot="1" x14ac:dyDescent="0.2">
      <c r="A10" s="3" t="s">
        <v>3</v>
      </c>
      <c r="B10" s="7">
        <f>(B7*B8)+B9</f>
        <v>1367.5</v>
      </c>
      <c r="C10" s="1"/>
      <c r="J10" s="1"/>
    </row>
    <row r="11" spans="1:10" ht="16" customHeight="1" x14ac:dyDescent="0.15">
      <c r="A11" s="2"/>
      <c r="B11" s="2"/>
      <c r="C11" s="2"/>
    </row>
  </sheetData>
  <mergeCells count="4">
    <mergeCell ref="C4:D4"/>
    <mergeCell ref="E4:F4"/>
    <mergeCell ref="C5:D5"/>
    <mergeCell ref="E5:F5"/>
  </mergeCells>
  <conditionalFormatting sqref="B8:B10">
    <cfRule type="cellIs" dxfId="2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2636-89BD-0147-BC69-A9127CA2C9B8}">
  <sheetPr>
    <pageSetUpPr fitToPage="1"/>
  </sheetPr>
  <dimension ref="A1:K11"/>
  <sheetViews>
    <sheetView zoomScale="120" zoomScaleNormal="120" workbookViewId="0">
      <selection activeCell="B8" sqref="B8"/>
    </sheetView>
  </sheetViews>
  <sheetFormatPr baseColWidth="10" defaultRowHeight="16" customHeight="1" x14ac:dyDescent="0.15"/>
  <cols>
    <col min="1" max="1" width="15.6640625" bestFit="1" customWidth="1"/>
    <col min="2" max="2" width="12.83203125" bestFit="1" customWidth="1"/>
    <col min="3" max="10" width="12.5" customWidth="1"/>
    <col min="11" max="11" width="10.83203125" customWidth="1"/>
  </cols>
  <sheetData>
    <row r="1" spans="1:11" s="6" customFormat="1" ht="16" customHeight="1" thickBot="1" x14ac:dyDescent="0.2">
      <c r="A1" s="21" t="s">
        <v>1</v>
      </c>
      <c r="B1" s="4">
        <v>45902</v>
      </c>
      <c r="C1" s="4">
        <v>45906</v>
      </c>
      <c r="D1" s="4">
        <v>45909</v>
      </c>
      <c r="E1" s="4">
        <v>45913</v>
      </c>
      <c r="F1" s="4">
        <v>45916</v>
      </c>
      <c r="G1" s="4">
        <v>45920</v>
      </c>
      <c r="H1" s="4">
        <v>45923</v>
      </c>
      <c r="I1" s="4">
        <v>45927</v>
      </c>
      <c r="J1" s="4">
        <v>45930</v>
      </c>
    </row>
    <row r="2" spans="1:11" ht="33" thickBot="1" x14ac:dyDescent="0.2">
      <c r="A2" s="22" t="s">
        <v>0</v>
      </c>
      <c r="B2" s="25" t="s">
        <v>10</v>
      </c>
      <c r="C2" s="25" t="s">
        <v>11</v>
      </c>
      <c r="D2" s="25" t="s">
        <v>10</v>
      </c>
      <c r="E2" s="25" t="s">
        <v>11</v>
      </c>
      <c r="F2" s="25" t="s">
        <v>10</v>
      </c>
      <c r="G2" s="25" t="s">
        <v>11</v>
      </c>
      <c r="H2" s="25" t="s">
        <v>10</v>
      </c>
      <c r="I2" s="25" t="s">
        <v>11</v>
      </c>
      <c r="J2" s="25" t="s">
        <v>10</v>
      </c>
    </row>
    <row r="3" spans="1:11" ht="16" customHeight="1" thickBot="1" x14ac:dyDescent="0.2">
      <c r="A3" s="24" t="s">
        <v>6</v>
      </c>
      <c r="B3" s="11">
        <v>1.5</v>
      </c>
      <c r="C3" s="11">
        <v>2</v>
      </c>
      <c r="D3" s="11">
        <v>1.5</v>
      </c>
      <c r="E3" s="11">
        <v>2</v>
      </c>
      <c r="F3" s="11">
        <v>1.5</v>
      </c>
      <c r="G3" s="11">
        <v>2</v>
      </c>
      <c r="H3" s="11">
        <v>1.5</v>
      </c>
      <c r="I3" s="11">
        <v>2</v>
      </c>
      <c r="J3" s="11">
        <v>1.5</v>
      </c>
    </row>
    <row r="4" spans="1:11" ht="16" customHeight="1" thickBot="1" x14ac:dyDescent="0.2">
      <c r="A4" s="12" t="s">
        <v>5</v>
      </c>
      <c r="B4" s="106">
        <f>C3+B3</f>
        <v>3.5</v>
      </c>
      <c r="C4" s="107"/>
      <c r="D4" s="106">
        <f>E3+D3</f>
        <v>3.5</v>
      </c>
      <c r="E4" s="107"/>
      <c r="F4" s="106">
        <f>G3+F3</f>
        <v>3.5</v>
      </c>
      <c r="G4" s="107"/>
      <c r="H4" s="106">
        <f>I3+H3</f>
        <v>3.5</v>
      </c>
      <c r="I4" s="107"/>
      <c r="J4" s="11">
        <f>J3</f>
        <v>1.5</v>
      </c>
    </row>
    <row r="5" spans="1:11" ht="16" customHeight="1" thickBot="1" x14ac:dyDescent="0.2">
      <c r="A5" s="17" t="s">
        <v>7</v>
      </c>
      <c r="B5" s="110">
        <v>1</v>
      </c>
      <c r="C5" s="111"/>
      <c r="D5" s="110">
        <v>2</v>
      </c>
      <c r="E5" s="111"/>
      <c r="F5" s="110">
        <v>3</v>
      </c>
      <c r="G5" s="111"/>
      <c r="H5" s="110">
        <v>4</v>
      </c>
      <c r="I5" s="111"/>
      <c r="J5" s="18">
        <v>5</v>
      </c>
    </row>
    <row r="6" spans="1:11" ht="16" customHeight="1" thickBot="1" x14ac:dyDescent="0.2">
      <c r="H6" s="23" t="s">
        <v>9</v>
      </c>
    </row>
    <row r="7" spans="1:11" ht="18" thickBot="1" x14ac:dyDescent="0.2">
      <c r="A7" s="13" t="s">
        <v>4</v>
      </c>
      <c r="B7" s="14">
        <f>SUM(B3:J3)</f>
        <v>15.5</v>
      </c>
      <c r="C7" s="8"/>
      <c r="D7" s="8"/>
      <c r="E7" s="8"/>
      <c r="F7" s="9"/>
      <c r="G7" s="10"/>
      <c r="H7" s="10"/>
      <c r="I7" s="10"/>
      <c r="J7" s="10"/>
      <c r="K7" s="1"/>
    </row>
    <row r="8" spans="1:11" ht="18" thickBot="1" x14ac:dyDescent="0.2">
      <c r="A8" s="15" t="s">
        <v>2</v>
      </c>
      <c r="B8" s="16">
        <v>35</v>
      </c>
      <c r="C8" s="1"/>
      <c r="D8" s="1"/>
      <c r="E8" s="1"/>
      <c r="F8" s="1"/>
      <c r="G8" s="1"/>
      <c r="H8" s="1"/>
      <c r="I8" s="1"/>
      <c r="J8" s="1"/>
      <c r="K8" s="1"/>
    </row>
    <row r="9" spans="1:11" ht="18" thickBot="1" x14ac:dyDescent="0.2">
      <c r="A9" s="26" t="s">
        <v>12</v>
      </c>
      <c r="B9" s="16">
        <v>1000</v>
      </c>
      <c r="C9" s="1"/>
      <c r="D9" s="1"/>
      <c r="E9" s="1"/>
      <c r="F9" s="1"/>
      <c r="G9" s="1"/>
      <c r="H9" s="1"/>
      <c r="I9" s="1"/>
      <c r="J9" s="1"/>
      <c r="K9" s="1"/>
    </row>
    <row r="10" spans="1:11" ht="18" thickBot="1" x14ac:dyDescent="0.2">
      <c r="A10" s="3" t="s">
        <v>3</v>
      </c>
      <c r="B10" s="7">
        <f>(B7*B8)+B9</f>
        <v>1542.5</v>
      </c>
      <c r="C10" s="1"/>
      <c r="K10" s="1"/>
    </row>
    <row r="11" spans="1:11" ht="16" customHeight="1" x14ac:dyDescent="0.15">
      <c r="A11" s="2"/>
      <c r="B11" s="2"/>
      <c r="C11" s="2"/>
    </row>
  </sheetData>
  <mergeCells count="8">
    <mergeCell ref="B4:C4"/>
    <mergeCell ref="B5:C5"/>
    <mergeCell ref="D4:E4"/>
    <mergeCell ref="F4:G4"/>
    <mergeCell ref="H4:I4"/>
    <mergeCell ref="D5:E5"/>
    <mergeCell ref="F5:G5"/>
    <mergeCell ref="H5:I5"/>
  </mergeCells>
  <phoneticPr fontId="3" type="noConversion"/>
  <conditionalFormatting sqref="B8:B10">
    <cfRule type="cellIs" dxfId="1" priority="3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7E8F-55FA-E749-B133-A49160454D92}">
  <sheetPr>
    <pageSetUpPr fitToPage="1"/>
  </sheetPr>
  <dimension ref="A1:K2"/>
  <sheetViews>
    <sheetView zoomScale="120" zoomScaleNormal="120" workbookViewId="0">
      <selection activeCell="A2" sqref="A2:XFD2"/>
    </sheetView>
  </sheetViews>
  <sheetFormatPr baseColWidth="10" defaultRowHeight="16" customHeight="1" x14ac:dyDescent="0.15"/>
  <cols>
    <col min="1" max="1" width="15.6640625" bestFit="1" customWidth="1"/>
    <col min="2" max="8" width="8.6640625" customWidth="1"/>
    <col min="9" max="10" width="12.5" customWidth="1"/>
    <col min="11" max="11" width="10.83203125" customWidth="1"/>
  </cols>
  <sheetData>
    <row r="1" spans="1:11" ht="18" thickBot="1" x14ac:dyDescent="0.2">
      <c r="A1" s="26" t="s">
        <v>12</v>
      </c>
      <c r="B1" s="16">
        <v>1000</v>
      </c>
      <c r="C1" s="1"/>
      <c r="D1" s="1"/>
      <c r="E1" s="1"/>
      <c r="F1" s="1"/>
      <c r="G1" s="1"/>
      <c r="H1" s="1"/>
      <c r="I1" s="1"/>
      <c r="J1" s="1"/>
      <c r="K1" s="1"/>
    </row>
    <row r="2" spans="1:11" ht="16" customHeight="1" x14ac:dyDescent="0.15">
      <c r="A2" s="2"/>
      <c r="B2" s="2"/>
      <c r="C2" s="2"/>
    </row>
  </sheetData>
  <conditionalFormatting sqref="B1">
    <cfRule type="cellIs" dxfId="0" priority="1" stopIfTrue="1" operator="lessThan">
      <formula>0</formula>
    </cfRule>
  </conditionalFormatting>
  <pageMargins left="0.7" right="0.7" top="0.75" bottom="0.75" header="0.3" footer="0.3"/>
  <pageSetup paperSize="9" scale="5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Summary</vt:lpstr>
      <vt:lpstr>JULY 2026</vt:lpstr>
      <vt:lpstr>JUNE 2026</vt:lpstr>
      <vt:lpstr>MAY 2026</vt:lpstr>
      <vt:lpstr>APRIL 2026</vt:lpstr>
      <vt:lpstr>MARCH 2026</vt:lpstr>
      <vt:lpstr>FEBRUARY 2026</vt:lpstr>
      <vt:lpstr>JANUARY 2026</vt:lpstr>
      <vt:lpstr>DECEMBER 2025</vt:lpstr>
      <vt:lpstr>NOVEMBER 2025</vt:lpstr>
      <vt:lpstr>OCTOBER 2025</vt:lpstr>
      <vt:lpstr>SEPTEMBER 2025</vt:lpstr>
      <vt:lpstr>AUGUST 2025</vt:lpstr>
      <vt:lpstr>'APRIL 2026'!Print_Area</vt:lpstr>
      <vt:lpstr>'AUGUST 2025'!Print_Area</vt:lpstr>
      <vt:lpstr>'DECEMBER 2025'!Print_Area</vt:lpstr>
      <vt:lpstr>'FEBRUARY 2026'!Print_Area</vt:lpstr>
      <vt:lpstr>'JANUARY 2026'!Print_Area</vt:lpstr>
      <vt:lpstr>'JULY 2026'!Print_Area</vt:lpstr>
      <vt:lpstr>'JUNE 2026'!Print_Area</vt:lpstr>
      <vt:lpstr>'MARCH 2026'!Print_Area</vt:lpstr>
      <vt:lpstr>'MAY 2026'!Print_Area</vt:lpstr>
      <vt:lpstr>'NOVEMBER 2025'!Print_Area</vt:lpstr>
      <vt:lpstr>'OCTOBER 2025'!Print_Area</vt:lpstr>
      <vt:lpstr>'SEPTEMBER 2025'!Print_Area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Luciana Galimberti</cp:lastModifiedBy>
  <cp:lastPrinted>2024-10-25T09:40:34Z</cp:lastPrinted>
  <dcterms:created xsi:type="dcterms:W3CDTF">2023-11-02T16:02:44Z</dcterms:created>
  <dcterms:modified xsi:type="dcterms:W3CDTF">2026-04-24T21:46:23Z</dcterms:modified>
  <cp:category/>
</cp:coreProperties>
</file>